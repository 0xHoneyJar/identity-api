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2d11c4c64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0975bee732c4e97"/>
    <x:sheet xmlns:r="http://schemas.openxmlformats.org/officeDocument/2006/relationships" name="AHP Weights" sheetId="2" r:id="R847a6620935b470e"/>
    <x:sheet xmlns:r="http://schemas.openxmlformats.org/officeDocument/2006/relationships" name="Option Matrix" sheetId="3" r:id="Rff78a20e0f03446c"/>
    <x:sheet xmlns:r="http://schemas.openxmlformats.org/officeDocument/2006/relationships" name="Sensitivity" sheetId="4" r:id="R5f07a3058707445d"/>
    <x:sheet xmlns:r="http://schemas.openxmlformats.org/officeDocument/2006/relationships" name="Recommended Portfolio" sheetId="5" r:id="R68e760f2c1cb46ac"/>
    <x:sheet xmlns:r="http://schemas.openxmlformats.org/officeDocument/2006/relationships" name="Sources" sheetId="6" r:id="R1d0b044b3704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0"/>
    <x:numFmt numFmtId="202" formatCode="0.0000"/>
    <x:numFmt numFmtId="203" formatCode="0.0%"/>
    <x:numFmt numFmtId="204" formatCode="0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B1F33"/>
      <x:name val="Carlito"/>
    </x:font>
    <x:font>
      <x:b/>
      <x:sz val="10"/>
      <x:color rgb="FFFFFFFF"/>
      <x:name val="Carlito"/>
    </x:font>
    <x:font>
      <x:b/>
      <x:sz val="11"/>
      <x:color rgb="FF0B1F33"/>
      <x:name val="Carlito"/>
    </x:font>
    <x:font>
      <x:b/>
      <x:sz val="12"/>
      <x:color rgb="FFFFFFFF"/>
      <x:name val="Carlito"/>
    </x:font>
    <x:font>
      <x:b/>
      <x:sz val="12"/>
      <x:color rgb="FF0B1F33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  <x:font>
      <x:b/>
      <x:sz val="20"/>
      <x:color rgb="FFFFFFFF"/>
      <x:name val="Aptos"/>
    </x:font>
    <x:font>
      <x:i/>
      <x:sz val="10"/>
      <x:color rgb="FF0B1F33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1"/>
      <x:color rgb="FF0B1F33"/>
      <x:name val="Aptos"/>
    </x:font>
    <x:font>
      <x:b/>
      <x:sz val="12"/>
      <x:color rgb="FFFFFFFF"/>
      <x:name val="Aptos"/>
    </x:font>
    <x:font>
      <x:b/>
      <x:sz val="12"/>
      <x:color rgb="FF0B1F33"/>
      <x:name val="Aptos"/>
    </x:font>
    <x:font>
      <x:b/>
      <x:sz val="11"/>
      <x:color rgb="FFFFFFFF"/>
      <x:name val="Aptos"/>
    </x:font>
    <x:font>
      <x:sz val="11"/>
      <x:color rgb="FF0B1F33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B45309"/>
      </x:patternFill>
    </x:fill>
    <x:fill>
      <x:patternFill patternType="solid">
        <x:fgColor rgb="FFFEF3C7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30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wrapText="1"/>
    </x:xf>
    <x:xf numFmtId="0" fontId="4" fillId="9" borderId="5" xfId="0" applyNumberFormat="1" applyFont="1" applyFill="1" applyBorder="1" applyAlignment="1">
      <x:alignment horizontal="center" wrapText="1"/>
    </x:xf>
    <x:xf numFmtId="0" fontId="4" fillId="9" borderId="6" xfId="0" applyNumberFormat="1" applyFont="1" applyFill="1" applyBorder="1" applyAlignment="1">
      <x:alignment horizontal="center" wrapText="1"/>
    </x:xf>
    <x:xf numFmtId="0" fontId="4" fillId="9" borderId="7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horizontal="center" vertical="center" wrapText="1"/>
    </x:xf>
    <x:xf numFmtId="0" fontId="4" fillId="9" borderId="7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12" xfId="0" applyNumberFormat="1" applyFont="1" applyFill="1" applyBorder="1"/>
    <x:xf numFmtId="0" fontId="4" fillId="9" borderId="13" xfId="0" applyNumberFormat="1" applyFont="1" applyFill="1" applyBorder="1"/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13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horizontal="center" wrapText="1"/>
    </x:xf>
    <x:xf numFmtId="0" fontId="4" fillId="9" borderId="9" xfId="0" applyNumberFormat="1" applyFont="1" applyFill="1" applyBorder="1" applyAlignment="1">
      <x:alignment horizontal="center" wrapText="1"/>
    </x:xf>
    <x:xf numFmtId="0" fontId="4" fillId="9" borderId="10" xfId="0" applyNumberFormat="1" applyFont="1" applyFill="1" applyBorder="1" applyAlignment="1">
      <x:alignment horizontal="center" wrapText="1"/>
    </x:xf>
    <x:xf numFmtId="0" fontId="4" fillId="9" borderId="11" xfId="0" applyNumberFormat="1" applyFont="1" applyFill="1" applyBorder="1" applyAlignment="1">
      <x:alignment horizontal="center" wrapText="1"/>
    </x:xf>
    <x:xf numFmtId="0" fontId="4" fillId="9" borderId="12" xfId="0" applyNumberFormat="1" applyFont="1" applyFill="1" applyBorder="1" applyAlignment="1">
      <x:alignment horizontal="center" wrapText="1"/>
    </x:xf>
    <x:xf numFmtId="0" fontId="4" fillId="9" borderId="13" xfId="0" applyNumberFormat="1" applyFont="1" applyFill="1" applyBorder="1" applyAlignment="1">
      <x:alignment horizontal="center" wrapText="1"/>
    </x:xf>
    <x:xf numFmtId="0" fontId="4" fillId="9" borderId="8" xfId="0" applyNumberFormat="1" applyFont="1" applyFill="1" applyBorder="1" applyAlignment="1">
      <x:alignment horizontal="center" vertical="center" wrapText="1"/>
    </x:xf>
    <x:xf numFmtId="0" fontId="4" fillId="9" borderId="9" xfId="0" applyNumberFormat="1" applyFont="1" applyFill="1" applyBorder="1" applyAlignment="1">
      <x:alignment horizontal="center" vertic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0" fontId="4" fillId="11" borderId="6" xfId="0" applyNumberFormat="1" applyFont="1" applyFill="1" applyBorder="1" applyAlignment="1">
      <x:alignment wrapText="1"/>
    </x:xf>
    <x:xf numFmtId="0" fontId="4" fillId="11" borderId="7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3" xfId="0" applyNumberFormat="1" applyFont="1" applyFill="1" applyBorder="1" applyAlignment="1">
      <x:alignment horizontal="center" wrapText="1"/>
    </x:xf>
    <x:xf numFmtId="0" fontId="4" fillId="11" borderId="4" xfId="0" applyNumberFormat="1" applyFont="1" applyFill="1" applyBorder="1" applyAlignment="1">
      <x:alignment horizontal="center" wrapText="1"/>
    </x:xf>
    <x:xf numFmtId="0" fontId="4" fillId="11" borderId="5" xfId="0" applyNumberFormat="1" applyFont="1" applyFill="1" applyBorder="1" applyAlignment="1">
      <x:alignment horizontal="center" wrapText="1"/>
    </x:xf>
    <x:xf numFmtId="0" fontId="4" fillId="11" borderId="6" xfId="0" applyNumberFormat="1" applyFont="1" applyFill="1" applyBorder="1" applyAlignment="1">
      <x:alignment horizontal="center" wrapText="1"/>
    </x:xf>
    <x:xf numFmtId="0" fontId="4" fillId="11" borderId="7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11" borderId="5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horizontal="center" vertical="center" wrapText="1"/>
    </x:xf>
    <x:xf numFmtId="0" fontId="4" fillId="11" borderId="7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8" xfId="0" applyNumberFormat="1" applyFont="1" applyFill="1" applyBorder="1"/>
    <x:xf numFmtId="0" fontId="4" fillId="11" borderId="9" xfId="0" applyNumberFormat="1" applyFont="1" applyFill="1" applyBorder="1"/>
    <x:xf numFmtId="0" fontId="4" fillId="11" borderId="10" xfId="0" applyNumberFormat="1" applyFont="1" applyFill="1" applyBorder="1"/>
    <x:xf numFmtId="0" fontId="4" fillId="11" borderId="11" xfId="0" applyNumberFormat="1" applyFont="1" applyFill="1" applyBorder="1"/>
    <x:xf numFmtId="0" fontId="4" fillId="11" borderId="12" xfId="0" applyNumberFormat="1" applyFont="1" applyFill="1" applyBorder="1"/>
    <x:xf numFmtId="0" fontId="4" fillId="11" borderId="13" xfId="0" applyNumberFormat="1" applyFont="1" applyFill="1" applyBorder="1"/>
    <x:xf numFmtId="0" fontId="4" fillId="11" borderId="8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wrapText="1"/>
    </x:xf>
    <x:xf numFmtId="0" fontId="4" fillId="11" borderId="11" xfId="0" applyNumberFormat="1" applyFont="1" applyFill="1" applyBorder="1" applyAlignment="1">
      <x:alignment wrapText="1"/>
    </x:xf>
    <x:xf numFmtId="0" fontId="4" fillId="11" borderId="12" xfId="0" applyNumberFormat="1" applyFont="1" applyFill="1" applyBorder="1" applyAlignment="1">
      <x:alignment wrapText="1"/>
    </x:xf>
    <x:xf numFmtId="0" fontId="4" fillId="11" borderId="13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horizontal="center" wrapText="1"/>
    </x:xf>
    <x:xf numFmtId="0" fontId="4" fillId="11" borderId="9" xfId="0" applyNumberFormat="1" applyFont="1" applyFill="1" applyBorder="1" applyAlignment="1">
      <x:alignment horizontal="center" wrapText="1"/>
    </x:xf>
    <x:xf numFmtId="0" fontId="4" fillId="11" borderId="10" xfId="0" applyNumberFormat="1" applyFont="1" applyFill="1" applyBorder="1" applyAlignment="1">
      <x:alignment horizontal="center" wrapText="1"/>
    </x:xf>
    <x:xf numFmtId="0" fontId="4" fillId="11" borderId="11" xfId="0" applyNumberFormat="1" applyFont="1" applyFill="1" applyBorder="1" applyAlignment="1">
      <x:alignment horizontal="center" wrapText="1"/>
    </x:xf>
    <x:xf numFmtId="0" fontId="4" fillId="11" borderId="12" xfId="0" applyNumberFormat="1" applyFont="1" applyFill="1" applyBorder="1" applyAlignment="1">
      <x:alignment horizontal="center" wrapText="1"/>
    </x:xf>
    <x:xf numFmtId="0" fontId="4" fillId="11" borderId="13" xfId="0" applyNumberFormat="1" applyFont="1" applyFill="1" applyBorder="1" applyAlignment="1">
      <x:alignment horizontal="center" wrapText="1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4" fillId="11" borderId="9" xfId="0" applyNumberFormat="1" applyFont="1" applyFill="1" applyBorder="1" applyAlignment="1">
      <x:alignment horizontal="center" vertical="center"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4" fillId="11" borderId="11" xfId="0" applyNumberFormat="1" applyFont="1" applyFill="1" applyBorder="1" applyAlignment="1">
      <x:alignment horizontal="center" vertical="center" wrapText="1"/>
    </x:xf>
    <x:xf numFmtId="0" fontId="4" fillId="11" borderId="12" xfId="0" applyNumberFormat="1" applyFont="1" applyFill="1" applyBorder="1" applyAlignment="1">
      <x:alignment horizontal="center" vertical="center" wrapText="1"/>
    </x:xf>
    <x:xf numFmtId="0" fontId="4" fillId="11" borderId="1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2" xfId="0" applyNumberFormat="1" applyFont="1" applyFill="1" applyBorder="1"/>
    <x:xf numFmtId="0" fontId="4" fillId="13" borderId="3" xfId="0" applyNumberFormat="1" applyFont="1" applyFill="1" applyBorder="1"/>
    <x:xf numFmtId="0" fontId="4" fillId="13" borderId="4" xfId="0" applyNumberFormat="1" applyFont="1" applyFill="1" applyBorder="1"/>
    <x:xf numFmtId="0" fontId="4" fillId="13" borderId="5" xfId="0" applyNumberFormat="1" applyFont="1" applyFill="1" applyBorder="1"/>
    <x:xf numFmtId="0" fontId="4" fillId="13" borderId="6" xfId="0" applyNumberFormat="1" applyFont="1" applyFill="1" applyBorder="1"/>
    <x:xf numFmtId="0" fontId="4" fillId="13" borderId="7" xfId="0" applyNumberFormat="1" applyFont="1" applyFill="1" applyBorder="1"/>
    <x:xf numFmtId="0" fontId="4" fillId="13" borderId="2" xfId="0" applyNumberFormat="1" applyFont="1" applyFill="1" applyBorder="1" applyAlignment="1">
      <x:alignment wrapText="1"/>
    </x:xf>
    <x:xf numFmtId="0" fontId="4" fillId="13" borderId="3" xfId="0" applyNumberFormat="1" applyFont="1" applyFill="1" applyBorder="1" applyAlignment="1">
      <x:alignment wrapText="1"/>
    </x:xf>
    <x:xf numFmtId="0" fontId="4" fillId="13" borderId="4" xfId="0" applyNumberFormat="1" applyFont="1" applyFill="1" applyBorder="1" applyAlignment="1">
      <x:alignment wrapText="1"/>
    </x:xf>
    <x:xf numFmtId="0" fontId="4" fillId="13" borderId="5" xfId="0" applyNumberFormat="1" applyFont="1" applyFill="1" applyBorder="1" applyAlignment="1">
      <x:alignment wrapText="1"/>
    </x:xf>
    <x:xf numFmtId="0" fontId="4" fillId="13" borderId="6" xfId="0" applyNumberFormat="1" applyFont="1" applyFill="1" applyBorder="1" applyAlignment="1">
      <x:alignment wrapText="1"/>
    </x:xf>
    <x:xf numFmtId="0" fontId="4" fillId="13" borderId="7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horizontal="center" wrapText="1"/>
    </x:xf>
    <x:xf numFmtId="0" fontId="4" fillId="13" borderId="3" xfId="0" applyNumberFormat="1" applyFont="1" applyFill="1" applyBorder="1" applyAlignment="1">
      <x:alignment horizontal="center" wrapText="1"/>
    </x:xf>
    <x:xf numFmtId="0" fontId="4" fillId="13" borderId="4" xfId="0" applyNumberFormat="1" applyFont="1" applyFill="1" applyBorder="1" applyAlignment="1">
      <x:alignment horizontal="center" wrapText="1"/>
    </x:xf>
    <x:xf numFmtId="0" fontId="4" fillId="13" borderId="5" xfId="0" applyNumberFormat="1" applyFont="1" applyFill="1" applyBorder="1" applyAlignment="1">
      <x:alignment horizontal="center" wrapText="1"/>
    </x:xf>
    <x:xf numFmtId="0" fontId="4" fillId="13" borderId="6" xfId="0" applyNumberFormat="1" applyFont="1" applyFill="1" applyBorder="1" applyAlignment="1">
      <x:alignment horizontal="center" wrapText="1"/>
    </x:xf>
    <x:xf numFmtId="0" fontId="4" fillId="13" borderId="7" xfId="0" applyNumberFormat="1" applyFont="1" applyFill="1" applyBorder="1" applyAlignment="1">
      <x:alignment horizontal="center"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4" fillId="13" borderId="3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horizontal="center" vertical="center" wrapText="1"/>
    </x:xf>
    <x:xf numFmtId="0" fontId="4" fillId="13" borderId="6" xfId="0" applyNumberFormat="1" applyFont="1" applyFill="1" applyBorder="1" applyAlignment="1">
      <x:alignment horizontal="center" vertical="center" wrapText="1"/>
    </x:xf>
    <x:xf numFmtId="0" fontId="4" fillId="13" borderId="7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4" fillId="13" borderId="1" xfId="0" applyNumberFormat="1" applyFont="1" applyFill="1" applyBorder="1"/>
    <x:xf numFmtId="0" fontId="4" fillId="13" borderId="8" xfId="0" applyNumberFormat="1" applyFont="1" applyFill="1" applyBorder="1"/>
    <x:xf numFmtId="0" fontId="4" fillId="13" borderId="9" xfId="0" applyNumberFormat="1" applyFont="1" applyFill="1" applyBorder="1"/>
    <x:xf numFmtId="0" fontId="4" fillId="13" borderId="10" xfId="0" applyNumberFormat="1" applyFont="1" applyFill="1" applyBorder="1"/>
    <x:xf numFmtId="0" fontId="4" fillId="13" borderId="11" xfId="0" applyNumberFormat="1" applyFont="1" applyFill="1" applyBorder="1"/>
    <x:xf numFmtId="0" fontId="4" fillId="13" borderId="12" xfId="0" applyNumberFormat="1" applyFont="1" applyFill="1" applyBorder="1"/>
    <x:xf numFmtId="0" fontId="4" fillId="13" borderId="13" xfId="0" applyNumberFormat="1" applyFont="1" applyFill="1" applyBorder="1"/>
    <x:xf numFmtId="0" fontId="4" fillId="13" borderId="8" xfId="0" applyNumberFormat="1" applyFont="1" applyFill="1" applyBorder="1" applyAlignment="1">
      <x:alignment wrapText="1"/>
    </x:xf>
    <x:xf numFmtId="0" fontId="4" fillId="13" borderId="9" xfId="0" applyNumberFormat="1" applyFont="1" applyFill="1" applyBorder="1" applyAlignment="1">
      <x:alignment wrapText="1"/>
    </x:xf>
    <x:xf numFmtId="0" fontId="4" fillId="13" borderId="10" xfId="0" applyNumberFormat="1" applyFont="1" applyFill="1" applyBorder="1" applyAlignment="1">
      <x:alignment wrapText="1"/>
    </x:xf>
    <x:xf numFmtId="0" fontId="4" fillId="13" borderId="11" xfId="0" applyNumberFormat="1" applyFont="1" applyFill="1" applyBorder="1" applyAlignment="1">
      <x:alignment wrapText="1"/>
    </x:xf>
    <x:xf numFmtId="0" fontId="4" fillId="13" borderId="12" xfId="0" applyNumberFormat="1" applyFont="1" applyFill="1" applyBorder="1" applyAlignment="1">
      <x:alignment wrapText="1"/>
    </x:xf>
    <x:xf numFmtId="0" fontId="4" fillId="13" borderId="13" xfId="0" applyNumberFormat="1" applyFont="1" applyFill="1" applyBorder="1" applyAlignment="1">
      <x:alignment wrapText="1"/>
    </x:xf>
    <x:xf numFmtId="0" fontId="4" fillId="13" borderId="8" xfId="0" applyNumberFormat="1" applyFont="1" applyFill="1" applyBorder="1" applyAlignment="1">
      <x:alignment horizontal="center" wrapText="1"/>
    </x:xf>
    <x:xf numFmtId="0" fontId="4" fillId="13" borderId="9" xfId="0" applyNumberFormat="1" applyFont="1" applyFill="1" applyBorder="1" applyAlignment="1">
      <x:alignment horizontal="center" wrapText="1"/>
    </x:xf>
    <x:xf numFmtId="0" fontId="4" fillId="13" borderId="10" xfId="0" applyNumberFormat="1" applyFont="1" applyFill="1" applyBorder="1" applyAlignment="1">
      <x:alignment horizontal="center" wrapText="1"/>
    </x:xf>
    <x:xf numFmtId="0" fontId="4" fillId="13" borderId="11" xfId="0" applyNumberFormat="1" applyFont="1" applyFill="1" applyBorder="1" applyAlignment="1">
      <x:alignment horizontal="center" wrapText="1"/>
    </x:xf>
    <x:xf numFmtId="0" fontId="4" fillId="13" borderId="12" xfId="0" applyNumberFormat="1" applyFont="1" applyFill="1" applyBorder="1" applyAlignment="1">
      <x:alignment horizontal="center" wrapText="1"/>
    </x:xf>
    <x:xf numFmtId="0" fontId="4" fillId="13" borderId="13" xfId="0" applyNumberFormat="1" applyFont="1" applyFill="1" applyBorder="1" applyAlignment="1">
      <x:alignment horizontal="center" wrapText="1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center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center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5" fillId="8" borderId="0" xfId="0" applyNumberFormat="1" applyFont="1" applyFill="1" applyBorder="1" applyAlignment="1">
      <x:alignment horizontal="left" vertical="center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left"/>
    </x:xf>
    <x:xf numFmtId="0" fontId="5" fillId="8" borderId="1" xfId="0" applyNumberFormat="1" applyFont="1" applyFill="1" applyBorder="1" applyAlignment="1">
      <x:alignment horizontal="left" vertical="center"/>
    </x:xf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1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2" xfId="0" applyNumberFormat="1" applyFont="1" applyFill="1" applyBorder="1"/>
    <x:xf numFmtId="0" fontId="6" fillId="14" borderId="3" xfId="0" applyNumberFormat="1" applyFont="1" applyFill="1" applyBorder="1"/>
    <x:xf numFmtId="0" fontId="6" fillId="14" borderId="4" xfId="0" applyNumberFormat="1" applyFont="1" applyFill="1" applyBorder="1"/>
    <x:xf numFmtId="0" fontId="6" fillId="14" borderId="20" xfId="0" applyNumberFormat="1" applyFont="1" applyFill="1" applyBorder="1"/>
    <x:xf numFmtId="0" fontId="6" fillId="14" borderId="21" xfId="0" applyNumberFormat="1" applyFont="1" applyFill="1" applyBorder="1"/>
    <x:xf numFmtId="0" fontId="6" fillId="14" borderId="5" xfId="0" applyNumberFormat="1" applyFont="1" applyFill="1" applyBorder="1"/>
    <x:xf numFmtId="0" fontId="6" fillId="14" borderId="6" xfId="0" applyNumberFormat="1" applyFont="1" applyFill="1" applyBorder="1"/>
    <x:xf numFmtId="0" fontId="6" fillId="14" borderId="7" xfId="0" applyNumberFormat="1" applyFont="1" applyFill="1" applyBorder="1"/>
    <x:xf numFmtId="0" fontId="6" fillId="14" borderId="2" xfId="0" applyNumberFormat="1" applyFont="1" applyFill="1" applyBorder="1" applyAlignment="1">
      <x:alignment wrapText="1"/>
    </x:xf>
    <x:xf numFmtId="0" fontId="6" fillId="14" borderId="3" xfId="0" applyNumberFormat="1" applyFont="1" applyFill="1" applyBorder="1" applyAlignment="1">
      <x:alignment wrapText="1"/>
    </x:xf>
    <x:xf numFmtId="0" fontId="6" fillId="14" borderId="4" xfId="0" applyNumberFormat="1" applyFont="1" applyFill="1" applyBorder="1" applyAlignment="1">
      <x:alignment wrapText="1"/>
    </x:xf>
    <x:xf numFmtId="0" fontId="6" fillId="14" borderId="2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6" fillId="14" borderId="21" xfId="0" applyNumberFormat="1" applyFont="1" applyFill="1" applyBorder="1" applyAlignment="1">
      <x:alignment wrapText="1"/>
    </x:xf>
    <x:xf numFmtId="0" fontId="6" fillId="14" borderId="5" xfId="0" applyNumberFormat="1" applyFont="1" applyFill="1" applyBorder="1" applyAlignment="1">
      <x:alignment wrapText="1"/>
    </x:xf>
    <x:xf numFmtId="0" fontId="6" fillId="14" borderId="6" xfId="0" applyNumberFormat="1" applyFont="1" applyFill="1" applyBorder="1" applyAlignment="1">
      <x:alignment wrapText="1"/>
    </x:xf>
    <x:xf numFmtId="0" fontId="6" fillId="14" borderId="7" xfId="0" applyNumberFormat="1" applyFont="1" applyFill="1" applyBorder="1" applyAlignment="1">
      <x:alignment wrapText="1"/>
    </x:xf>
    <x:xf numFmtId="0" fontId="6" fillId="14" borderId="2" xfId="0" applyNumberFormat="1" applyFont="1" applyFill="1" applyBorder="1" applyAlignment="1">
      <x:alignment vertical="center" wrapText="1"/>
    </x:xf>
    <x:xf numFmtId="0" fontId="6" fillId="14" borderId="3" xfId="0" applyNumberFormat="1" applyFont="1" applyFill="1" applyBorder="1" applyAlignment="1">
      <x:alignment vertical="center" wrapText="1"/>
    </x:xf>
    <x:xf numFmtId="0" fontId="6" fillId="14" borderId="4" xfId="0" applyNumberFormat="1" applyFont="1" applyFill="1" applyBorder="1" applyAlignment="1">
      <x:alignment vertical="center" wrapText="1"/>
    </x:xf>
    <x:xf numFmtId="0" fontId="6" fillId="14" borderId="2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6" fillId="14" borderId="21" xfId="0" applyNumberFormat="1" applyFont="1" applyFill="1" applyBorder="1" applyAlignment="1">
      <x:alignment vertical="center" wrapText="1"/>
    </x:xf>
    <x:xf numFmtId="0" fontId="6" fillId="14" borderId="5" xfId="0" applyNumberFormat="1" applyFont="1" applyFill="1" applyBorder="1" applyAlignment="1">
      <x:alignment vertical="center" wrapText="1"/>
    </x:xf>
    <x:xf numFmtId="0" fontId="6" fillId="14" borderId="6" xfId="0" applyNumberFormat="1" applyFont="1" applyFill="1" applyBorder="1" applyAlignment="1">
      <x:alignment vertical="center" wrapText="1"/>
    </x:xf>
    <x:xf numFmtId="0" fontId="6" fillId="14" borderId="7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/>
    <x:xf numFmtId="0" fontId="6" fillId="14" borderId="1" xfId="0" applyNumberFormat="1" applyFont="1" applyFill="1" applyBorder="1"/>
    <x:xf numFmtId="0" fontId="6" fillId="14" borderId="8" xfId="0" applyNumberFormat="1" applyFont="1" applyFill="1" applyBorder="1"/>
    <x:xf numFmtId="0" fontId="6" fillId="14" borderId="9" xfId="0" applyNumberFormat="1" applyFont="1" applyFill="1" applyBorder="1"/>
    <x:xf numFmtId="0" fontId="6" fillId="14" borderId="10" xfId="0" applyNumberFormat="1" applyFont="1" applyFill="1" applyBorder="1"/>
    <x:xf numFmtId="0" fontId="6" fillId="14" borderId="22" xfId="0" applyNumberFormat="1" applyFont="1" applyFill="1" applyBorder="1"/>
    <x:xf numFmtId="0" fontId="6" fillId="14" borderId="23" xfId="0" applyNumberFormat="1" applyFont="1" applyFill="1" applyBorder="1"/>
    <x:xf numFmtId="0" fontId="6" fillId="14" borderId="11" xfId="0" applyNumberFormat="1" applyFont="1" applyFill="1" applyBorder="1"/>
    <x:xf numFmtId="0" fontId="6" fillId="14" borderId="12" xfId="0" applyNumberFormat="1" applyFont="1" applyFill="1" applyBorder="1"/>
    <x:xf numFmtId="0" fontId="6" fillId="14" borderId="13" xfId="0" applyNumberFormat="1" applyFont="1" applyFill="1" applyBorder="1"/>
    <x:xf numFmtId="0" fontId="6" fillId="14" borderId="8" xfId="0" applyNumberFormat="1" applyFont="1" applyFill="1" applyBorder="1" applyAlignment="1">
      <x:alignment wrapText="1"/>
    </x:xf>
    <x:xf numFmtId="0" fontId="6" fillId="14" borderId="9" xfId="0" applyNumberFormat="1" applyFont="1" applyFill="1" applyBorder="1" applyAlignment="1">
      <x:alignment wrapText="1"/>
    </x:xf>
    <x:xf numFmtId="0" fontId="6" fillId="14" borderId="10" xfId="0" applyNumberFormat="1" applyFont="1" applyFill="1" applyBorder="1" applyAlignment="1">
      <x:alignment wrapText="1"/>
    </x:xf>
    <x:xf numFmtId="0" fontId="6" fillId="14" borderId="22" xfId="0" applyNumberFormat="1" applyFont="1" applyFill="1" applyBorder="1" applyAlignment="1">
      <x:alignment wrapText="1"/>
    </x:xf>
    <x:xf numFmtId="0" fontId="6" fillId="14" borderId="1" xfId="0" applyNumberFormat="1" applyFont="1" applyFill="1" applyBorder="1" applyAlignment="1">
      <x:alignment wrapText="1"/>
    </x:xf>
    <x:xf numFmtId="0" fontId="6" fillId="14" borderId="23" xfId="0" applyNumberFormat="1" applyFont="1" applyFill="1" applyBorder="1" applyAlignment="1">
      <x:alignment wrapText="1"/>
    </x:xf>
    <x:xf numFmtId="0" fontId="6" fillId="14" borderId="11" xfId="0" applyNumberFormat="1" applyFont="1" applyFill="1" applyBorder="1" applyAlignment="1">
      <x:alignment wrapText="1"/>
    </x:xf>
    <x:xf numFmtId="0" fontId="6" fillId="14" borderId="12" xfId="0" applyNumberFormat="1" applyFont="1" applyFill="1" applyBorder="1" applyAlignment="1">
      <x:alignment wrapText="1"/>
    </x:xf>
    <x:xf numFmtId="0" fontId="6" fillId="14" borderId="13" xfId="0" applyNumberFormat="1" applyFont="1" applyFill="1" applyBorder="1" applyAlignment="1">
      <x:alignment wrapText="1"/>
    </x:xf>
    <x:xf numFmtId="0" fontId="6" fillId="14" borderId="8" xfId="0" applyNumberFormat="1" applyFont="1" applyFill="1" applyBorder="1" applyAlignment="1">
      <x:alignment vertical="center" wrapText="1"/>
    </x:xf>
    <x:xf numFmtId="0" fontId="6" fillId="14" borderId="9" xfId="0" applyNumberFormat="1" applyFont="1" applyFill="1" applyBorder="1" applyAlignment="1">
      <x:alignment vertical="center" wrapText="1"/>
    </x:xf>
    <x:xf numFmtId="0" fontId="6" fillId="14" borderId="10" xfId="0" applyNumberFormat="1" applyFont="1" applyFill="1" applyBorder="1" applyAlignment="1">
      <x:alignment vertical="center" wrapText="1"/>
    </x:xf>
    <x:xf numFmtId="0" fontId="6" fillId="14" borderId="22" xfId="0" applyNumberFormat="1" applyFont="1" applyFill="1" applyBorder="1" applyAlignment="1">
      <x:alignment vertical="center" wrapText="1"/>
    </x:xf>
    <x:xf numFmtId="0" fontId="6" fillId="14" borderId="1" xfId="0" applyNumberFormat="1" applyFont="1" applyFill="1" applyBorder="1" applyAlignment="1">
      <x:alignment vertical="center" wrapText="1"/>
    </x:xf>
    <x:xf numFmtId="0" fontId="6" fillId="14" borderId="23" xfId="0" applyNumberFormat="1" applyFont="1" applyFill="1" applyBorder="1" applyAlignment="1">
      <x:alignment vertical="center" wrapText="1"/>
    </x:xf>
    <x:xf numFmtId="0" fontId="6" fillId="14" borderId="11" xfId="0" applyNumberFormat="1" applyFont="1" applyFill="1" applyBorder="1" applyAlignment="1">
      <x:alignment vertical="center" wrapText="1"/>
    </x:xf>
    <x:xf numFmtId="0" fontId="6" fillId="14" borderId="12" xfId="0" applyNumberFormat="1" applyFont="1" applyFill="1" applyBorder="1" applyAlignment="1">
      <x:alignment vertical="center" wrapText="1"/>
    </x:xf>
    <x:xf numFmtId="0" fontId="6" fillId="14" borderId="1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24" xfId="0" applyNumberFormat="1" applyFont="1" applyFill="1" applyBorder="1"/>
    <x:xf numFmtId="0" fontId="7" fillId="2" borderId="25" xfId="0" applyNumberFormat="1" applyFont="1" applyFill="1" applyBorder="1"/>
    <x:xf numFmtId="0" fontId="7" fillId="2" borderId="26" xfId="0" applyNumberFormat="1" applyFont="1" applyFill="1" applyBorder="1"/>
    <x:xf numFmtId="0" fontId="7" fillId="2" borderId="24" xfId="0" applyNumberFormat="1" applyFont="1" applyFill="1" applyBorder="1" applyAlignment="1">
      <x:alignment horizontal="center"/>
    </x:xf>
    <x:xf numFmtId="0" fontId="7" fillId="2" borderId="25" xfId="0" applyNumberFormat="1" applyFont="1" applyFill="1" applyBorder="1" applyAlignment="1">
      <x:alignment horizontal="center"/>
    </x:xf>
    <x:xf numFmtId="0" fontId="7" fillId="2" borderId="26" xfId="0" applyNumberFormat="1" applyFont="1" applyFill="1" applyBorder="1" applyAlignment="1">
      <x:alignment horizontal="center"/>
    </x:xf>
    <x:xf numFmtId="0" fontId="7" fillId="2" borderId="24" xfId="0" applyNumberFormat="1" applyFont="1" applyFill="1" applyBorder="1" applyAlignment="1">
      <x:alignment horizontal="center" vertical="center"/>
    </x:xf>
    <x:xf numFmtId="0" fontId="7" fillId="2" borderId="25" xfId="0" applyNumberFormat="1" applyFont="1" applyFill="1" applyBorder="1" applyAlignment="1">
      <x:alignment horizontal="center" vertical="center"/>
    </x:xf>
    <x:xf numFmtId="0" fontId="7" fillId="2" borderId="26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27" xfId="0" applyNumberFormat="1" applyFont="1" applyFill="1" applyBorder="1"/>
    <x:xf numFmtId="0" fontId="7" fillId="2" borderId="28" xfId="0" applyNumberFormat="1" applyFont="1" applyFill="1" applyBorder="1"/>
    <x:xf numFmtId="0" fontId="7" fillId="2" borderId="29" xfId="0" applyNumberFormat="1" applyFont="1" applyFill="1" applyBorder="1"/>
    <x:xf numFmtId="0" fontId="7" fillId="2" borderId="27" xfId="0" applyNumberFormat="1" applyFont="1" applyFill="1" applyBorder="1" applyAlignment="1">
      <x:alignment horizontal="center"/>
    </x:xf>
    <x:xf numFmtId="0" fontId="7" fillId="2" borderId="28" xfId="0" applyNumberFormat="1" applyFont="1" applyFill="1" applyBorder="1" applyAlignment="1">
      <x:alignment horizontal="center"/>
    </x:xf>
    <x:xf numFmtId="0" fontId="7" fillId="2" borderId="29" xfId="0" applyNumberFormat="1" applyFont="1" applyFill="1" applyBorder="1" applyAlignment="1">
      <x:alignment horizontal="center"/>
    </x:xf>
    <x:xf numFmtId="0" fontId="7" fillId="2" borderId="27" xfId="0" applyNumberFormat="1" applyFont="1" applyFill="1" applyBorder="1" applyAlignment="1">
      <x:alignment horizontal="center" vertical="center"/>
    </x:xf>
    <x:xf numFmtId="0" fontId="7" fillId="2" borderId="28" xfId="0" applyNumberFormat="1" applyFont="1" applyFill="1" applyBorder="1" applyAlignment="1">
      <x:alignment horizontal="center" vertical="center"/>
    </x:xf>
    <x:xf numFmtId="0" fontId="7" fillId="2" borderId="29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24" xfId="0" applyNumberFormat="1" applyFont="1" applyFill="1" applyBorder="1"/>
    <x:xf numFmtId="0" fontId="8" fillId="15" borderId="25" xfId="0" applyNumberFormat="1" applyFont="1" applyFill="1" applyBorder="1"/>
    <x:xf numFmtId="0" fontId="8" fillId="15" borderId="26" xfId="0" applyNumberFormat="1" applyFont="1" applyFill="1" applyBorder="1"/>
    <x:xf numFmtId="0" fontId="8" fillId="15" borderId="24" xfId="0" applyNumberFormat="1" applyFont="1" applyFill="1" applyBorder="1" applyAlignment="1">
      <x:alignment wrapText="1"/>
    </x:xf>
    <x:xf numFmtId="0" fontId="8" fillId="15" borderId="25" xfId="0" applyNumberFormat="1" applyFont="1" applyFill="1" applyBorder="1" applyAlignment="1">
      <x:alignment wrapText="1"/>
    </x:xf>
    <x:xf numFmtId="0" fontId="8" fillId="15" borderId="26" xfId="0" applyNumberFormat="1" applyFont="1" applyFill="1" applyBorder="1" applyAlignment="1">
      <x:alignment wrapText="1"/>
    </x:xf>
    <x:xf numFmtId="0" fontId="8" fillId="15" borderId="24" xfId="0" applyNumberFormat="1" applyFont="1" applyFill="1" applyBorder="1" applyAlignment="1">
      <x:alignment vertical="top" wrapText="1"/>
    </x:xf>
    <x:xf numFmtId="0" fontId="8" fillId="15" borderId="25" xfId="0" applyNumberFormat="1" applyFont="1" applyFill="1" applyBorder="1" applyAlignment="1">
      <x:alignment vertical="top" wrapText="1"/>
    </x:xf>
    <x:xf numFmtId="0" fontId="8" fillId="15" borderId="26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/>
    <x:xf numFmtId="0" fontId="8" fillId="15" borderId="1" xfId="0" applyNumberFormat="1" applyFont="1" applyFill="1" applyBorder="1"/>
    <x:xf numFmtId="0" fontId="8" fillId="15" borderId="27" xfId="0" applyNumberFormat="1" applyFont="1" applyFill="1" applyBorder="1"/>
    <x:xf numFmtId="0" fontId="8" fillId="15" borderId="28" xfId="0" applyNumberFormat="1" applyFont="1" applyFill="1" applyBorder="1"/>
    <x:xf numFmtId="0" fontId="8" fillId="15" borderId="29" xfId="0" applyNumberFormat="1" applyFont="1" applyFill="1" applyBorder="1"/>
    <x:xf numFmtId="0" fontId="8" fillId="15" borderId="27" xfId="0" applyNumberFormat="1" applyFont="1" applyFill="1" applyBorder="1" applyAlignment="1">
      <x:alignment wrapText="1"/>
    </x:xf>
    <x:xf numFmtId="0" fontId="8" fillId="15" borderId="28" xfId="0" applyNumberFormat="1" applyFont="1" applyFill="1" applyBorder="1" applyAlignment="1">
      <x:alignment wrapText="1"/>
    </x:xf>
    <x:xf numFmtId="0" fontId="8" fillId="15" borderId="29" xfId="0" applyNumberFormat="1" applyFont="1" applyFill="1" applyBorder="1" applyAlignment="1">
      <x:alignment wrapText="1"/>
    </x:xf>
    <x:xf numFmtId="0" fontId="8" fillId="15" borderId="27" xfId="0" applyNumberFormat="1" applyFont="1" applyFill="1" applyBorder="1" applyAlignment="1">
      <x:alignment vertical="top" wrapText="1"/>
    </x:xf>
    <x:xf numFmtId="0" fontId="8" fillId="15" borderId="28" xfId="0" applyNumberFormat="1" applyFont="1" applyFill="1" applyBorder="1" applyAlignment="1">
      <x:alignment vertical="top" wrapText="1"/>
    </x:xf>
    <x:xf numFmtId="0" fontId="8" fillId="15" borderId="29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3" fillId="7" borderId="4" xfId="0" applyNumberFormat="1" applyFont="1" applyFill="1" applyBorder="1" applyAlignment="1">
      <x:alignment horizontal="center" vertical="center" wrapText="1"/>
    </x:xf>
    <x:xf numFmtId="0" fontId="13" fillId="9" borderId="2" xfId="0" applyNumberFormat="1" applyFont="1" applyFill="1" applyBorder="1" applyAlignment="1">
      <x:alignment horizontal="center" vertical="center" wrapText="1"/>
    </x:xf>
    <x:xf numFmtId="0" fontId="13" fillId="9" borderId="3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3" fillId="11" borderId="2" xfId="0" applyNumberFormat="1" applyFont="1" applyFill="1" applyBorder="1" applyAlignment="1">
      <x:alignment horizontal="center" vertical="center" wrapText="1"/>
    </x:xf>
    <x:xf numFmtId="0" fontId="13" fillId="11" borderId="3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3" borderId="2" xfId="0" applyNumberFormat="1" applyFont="1" applyFill="1" applyBorder="1" applyAlignment="1">
      <x:alignment horizontal="center" vertical="center" wrapText="1"/>
    </x:xf>
    <x:xf numFmtId="0" fontId="13" fillId="13" borderId="3" xfId="0" applyNumberFormat="1" applyFont="1" applyFill="1" applyBorder="1" applyAlignment="1">
      <x:alignment horizontal="center" vertical="center" wrapText="1"/>
    </x:xf>
    <x:xf numFmtId="0" fontId="13" fillId="13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3" fillId="5" borderId="7" xfId="0" applyNumberFormat="1" applyFont="1" applyFill="1" applyBorder="1" applyAlignment="1">
      <x:alignment horizontal="center" vertical="center" wrapText="1"/>
    </x:xf>
    <x:xf numFmtId="0" fontId="13" fillId="7" borderId="5" xfId="0" applyNumberFormat="1" applyFont="1" applyFill="1" applyBorder="1" applyAlignment="1">
      <x:alignment horizontal="center" vertical="center" wrapText="1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9" borderId="5" xfId="0" applyNumberFormat="1" applyFont="1" applyFill="1" applyBorder="1" applyAlignment="1">
      <x:alignment horizontal="center" vertical="center" wrapText="1"/>
    </x:xf>
    <x:xf numFmtId="0" fontId="13" fillId="9" borderId="6" xfId="0" applyNumberFormat="1" applyFont="1" applyFill="1" applyBorder="1" applyAlignment="1">
      <x:alignment horizontal="center" vertical="center" wrapText="1"/>
    </x:xf>
    <x:xf numFmtId="0" fontId="13" fillId="9" borderId="7" xfId="0" applyNumberFormat="1" applyFont="1" applyFill="1" applyBorder="1" applyAlignment="1">
      <x:alignment horizontal="center" vertical="center" wrapText="1"/>
    </x:xf>
    <x:xf numFmtId="0" fontId="13" fillId="11" borderId="5" xfId="0" applyNumberFormat="1" applyFont="1" applyFill="1" applyBorder="1" applyAlignment="1">
      <x:alignment horizontal="center" vertical="center" wrapText="1"/>
    </x:xf>
    <x:xf numFmtId="0" fontId="13" fillId="11" borderId="6" xfId="0" applyNumberFormat="1" applyFont="1" applyFill="1" applyBorder="1" applyAlignment="1">
      <x:alignment horizontal="center" vertical="center" wrapText="1"/>
    </x:xf>
    <x:xf numFmtId="0" fontId="13" fillId="11" borderId="7" xfId="0" applyNumberFormat="1" applyFont="1" applyFill="1" applyBorder="1" applyAlignment="1">
      <x:alignment horizontal="center" vertical="center" wrapText="1"/>
    </x:xf>
    <x:xf numFmtId="0" fontId="13" fillId="13" borderId="5" xfId="0" applyNumberFormat="1" applyFont="1" applyFill="1" applyBorder="1" applyAlignment="1">
      <x:alignment horizontal="center" vertical="center" wrapText="1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left" vertical="center"/>
    </x:xf>
    <x:xf numFmtId="0" fontId="12" fillId="4" borderId="14" xfId="0" applyNumberFormat="1" applyFont="1" applyFill="1" applyBorder="1" applyAlignment="1">
      <x:alignment horizontal="center" vertical="center" wrapText="1"/>
    </x:xf>
    <x:xf numFmtId="0" fontId="12" fillId="4" borderId="15" xfId="0" applyNumberFormat="1" applyFont="1" applyFill="1" applyBorder="1" applyAlignment="1">
      <x:alignment horizontal="center" vertical="center" wrapText="1"/>
    </x:xf>
    <x:xf numFmtId="0" fontId="12" fillId="4" borderId="16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/>
    <x:xf numFmtId="0" fontId="11" fillId="0" borderId="3" xfId="0" applyNumberFormat="1" applyFont="1" applyFill="1" applyBorder="1" applyAlignment="1">
      <x:alignment wrapText="1"/>
    </x:xf>
    <x:xf numFmtId="0" fontId="11" fillId="0" borderId="3" xfId="0" applyNumberFormat="1" applyFont="1" applyFill="1" applyBorder="1"/>
    <x:xf numFmtId="200" fontId="11" fillId="0" borderId="3" xfId="0" applyNumberFormat="1" applyFont="1" applyFill="1" applyBorder="1"/>
    <x:xf numFmtId="0" fontId="11" fillId="0" borderId="4" xfId="0" applyNumberFormat="1" applyFont="1" applyFill="1" applyBorder="1" applyAlignment="1">
      <x:alignment wrapText="1"/>
    </x:xf>
    <x:xf numFmtId="0" fontId="11" fillId="0" borderId="2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/>
    <x:xf numFmtId="0" fontId="11" fillId="0" borderId="21" xfId="0" applyNumberFormat="1" applyFont="1" applyFill="1" applyBorder="1" applyAlignment="1">
      <x:alignment wrapText="1"/>
    </x:xf>
    <x:xf numFmtId="0" fontId="11" fillId="0" borderId="5" xfId="0" applyNumberFormat="1" applyFont="1" applyFill="1" applyBorder="1"/>
    <x:xf numFmtId="0" fontId="11" fillId="0" borderId="6" xfId="0" applyNumberFormat="1" applyFont="1" applyFill="1" applyBorder="1" applyAlignment="1">
      <x:alignment wrapText="1"/>
    </x:xf>
    <x:xf numFmtId="0" fontId="11" fillId="0" borderId="6" xfId="0" applyNumberFormat="1" applyFont="1" applyFill="1" applyBorder="1"/>
    <x:xf numFmtId="200" fontId="11" fillId="0" borderId="6" xfId="0" applyNumberFormat="1" applyFont="1" applyFill="1" applyBorder="1"/>
    <x:xf numFmtId="0" fontId="11" fillId="0" borderId="7" xfId="0" applyNumberFormat="1" applyFont="1" applyFill="1" applyBorder="1" applyAlignment="1">
      <x:alignment wrapText="1"/>
    </x:xf>
    <x:xf numFmtId="0" fontId="15" fillId="14" borderId="2" xfId="0" applyNumberFormat="1" applyFont="1" applyFill="1" applyBorder="1" applyAlignment="1">
      <x:alignment vertical="center" wrapText="1"/>
    </x:xf>
    <x:xf numFmtId="0" fontId="15" fillId="14" borderId="3" xfId="0" applyNumberFormat="1" applyFont="1" applyFill="1" applyBorder="1" applyAlignment="1">
      <x:alignment vertical="center" wrapText="1"/>
    </x:xf>
    <x:xf numFmtId="0" fontId="15" fillId="14" borderId="4" xfId="0" applyNumberFormat="1" applyFont="1" applyFill="1" applyBorder="1" applyAlignment="1">
      <x:alignment vertical="center" wrapText="1"/>
    </x:xf>
    <x:xf numFmtId="0" fontId="15" fillId="14" borderId="20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 applyAlignment="1">
      <x:alignment vertical="center" wrapText="1"/>
    </x:xf>
    <x:xf numFmtId="0" fontId="15" fillId="14" borderId="21" xfId="0" applyNumberFormat="1" applyFont="1" applyFill="1" applyBorder="1" applyAlignment="1">
      <x:alignment vertical="center" wrapText="1"/>
    </x:xf>
    <x:xf numFmtId="0" fontId="15" fillId="14" borderId="5" xfId="0" applyNumberFormat="1" applyFont="1" applyFill="1" applyBorder="1" applyAlignment="1">
      <x:alignment vertical="center" wrapText="1"/>
    </x:xf>
    <x:xf numFmtId="0" fontId="15" fillId="14" borderId="6" xfId="0" applyNumberFormat="1" applyFont="1" applyFill="1" applyBorder="1" applyAlignment="1">
      <x:alignment vertical="center" wrapText="1"/>
    </x:xf>
    <x:xf numFmtId="0" fontId="15" fillId="14" borderId="7" xfId="0" applyNumberFormat="1" applyFont="1" applyFill="1" applyBorder="1" applyAlignment="1">
      <x:alignment vertical="center" wrapText="1"/>
    </x:xf>
    <x:xf numFmtId="0" fontId="16" fillId="2" borderId="24" xfId="0" applyNumberFormat="1" applyFont="1" applyFill="1" applyBorder="1" applyAlignment="1">
      <x:alignment horizontal="center" vertical="center"/>
    </x:xf>
    <x:xf numFmtId="0" fontId="17" fillId="15" borderId="24" xfId="0" applyNumberFormat="1" applyFont="1" applyFill="1" applyBorder="1" applyAlignment="1">
      <x:alignment vertical="top" wrapText="1"/>
    </x:xf>
    <x:xf numFmtId="0" fontId="16" fillId="2" borderId="25" xfId="0" applyNumberFormat="1" applyFont="1" applyFill="1" applyBorder="1" applyAlignment="1">
      <x:alignment horizontal="center" vertical="center"/>
    </x:xf>
    <x:xf numFmtId="0" fontId="17" fillId="15" borderId="25" xfId="0" applyNumberFormat="1" applyFont="1" applyFill="1" applyBorder="1" applyAlignment="1">
      <x:alignment vertical="top" wrapText="1"/>
    </x:xf>
    <x:xf numFmtId="0" fontId="16" fillId="2" borderId="26" xfId="0" applyNumberFormat="1" applyFont="1" applyFill="1" applyBorder="1" applyAlignment="1">
      <x:alignment horizontal="center" vertical="center"/>
    </x:xf>
    <x:xf numFmtId="0" fontId="17" fillId="15" borderId="26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 applyAlignment="1">
      <x:alignment horizontal="center" vertical="center"/>
    </x:xf>
    <x:xf numFmtId="0" fontId="12" fillId="12" borderId="1" xfId="0" applyNumberFormat="1" applyFont="1" applyFill="1" applyBorder="1" applyAlignment="1">
      <x:alignment horizontal="center" vertical="center"/>
    </x:xf>
    <x:xf numFmtId="0" fontId="13" fillId="5" borderId="8" xfId="0" applyNumberFormat="1" applyFont="1" applyFill="1" applyBorder="1" applyAlignment="1">
      <x:alignment horizontal="center" vertical="center" wrapText="1"/>
    </x:xf>
    <x:xf numFmtId="0" fontId="13" fillId="5" borderId="9" xfId="0" applyNumberFormat="1" applyFont="1" applyFill="1" applyBorder="1" applyAlignment="1">
      <x:alignment horizontal="center" vertical="center" wrapText="1"/>
    </x:xf>
    <x:xf numFmtId="0" fontId="13" fillId="5" borderId="10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13" fillId="7" borderId="9" xfId="0" applyNumberFormat="1" applyFont="1" applyFill="1" applyBorder="1" applyAlignment="1">
      <x:alignment horizontal="center" vertical="center" wrapText="1"/>
    </x:xf>
    <x:xf numFmtId="0" fontId="13" fillId="7" borderId="10" xfId="0" applyNumberFormat="1" applyFont="1" applyFill="1" applyBorder="1" applyAlignment="1">
      <x:alignment horizontal="center" vertical="center" wrapText="1"/>
    </x:xf>
    <x:xf numFmtId="0" fontId="13" fillId="9" borderId="8" xfId="0" applyNumberFormat="1" applyFont="1" applyFill="1" applyBorder="1" applyAlignment="1">
      <x:alignment horizontal="center" vertical="center" wrapText="1"/>
    </x:xf>
    <x:xf numFmtId="0" fontId="13" fillId="9" borderId="9" xfId="0" applyNumberFormat="1" applyFont="1" applyFill="1" applyBorder="1" applyAlignment="1">
      <x:alignment horizontal="center" vertical="center" wrapText="1"/>
    </x:xf>
    <x:xf numFmtId="0" fontId="13" fillId="9" borderId="10" xfId="0" applyNumberFormat="1" applyFont="1" applyFill="1" applyBorder="1" applyAlignment="1">
      <x:alignment horizontal="center" vertical="center" wrapText="1"/>
    </x:xf>
    <x:xf numFmtId="0" fontId="13" fillId="11" borderId="8" xfId="0" applyNumberFormat="1" applyFont="1" applyFill="1" applyBorder="1" applyAlignment="1">
      <x:alignment horizontal="center" vertical="center" wrapText="1"/>
    </x:xf>
    <x:xf numFmtId="0" fontId="13" fillId="11" borderId="9" xfId="0" applyNumberFormat="1" applyFont="1" applyFill="1" applyBorder="1" applyAlignment="1">
      <x:alignment horizontal="center" vertical="center" wrapText="1"/>
    </x:xf>
    <x:xf numFmtId="0" fontId="13" fillId="11" borderId="10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13" fillId="13" borderId="9" xfId="0" applyNumberFormat="1" applyFont="1" applyFill="1" applyBorder="1" applyAlignment="1">
      <x:alignment horizontal="center" vertical="center" wrapText="1"/>
    </x:xf>
    <x:xf numFmtId="0" fontId="13" fillId="13" borderId="10" xfId="0" applyNumberFormat="1" applyFont="1" applyFill="1" applyBorder="1" applyAlignment="1">
      <x:alignment horizontal="center" vertical="center" wrapText="1"/>
    </x:xf>
    <x:xf numFmtId="0" fontId="13" fillId="5" borderId="11" xfId="0" applyNumberFormat="1" applyFont="1" applyFill="1" applyBorder="1" applyAlignment="1">
      <x:alignment horizontal="center" vertical="center" wrapText="1"/>
    </x:xf>
    <x:xf numFmtId="0" fontId="13" fillId="5" borderId="12" xfId="0" applyNumberFormat="1" applyFont="1" applyFill="1" applyBorder="1" applyAlignment="1">
      <x:alignment horizontal="center" vertical="center" wrapText="1"/>
    </x:xf>
    <x:xf numFmtId="0" fontId="13" fillId="5" borderId="13" xfId="0" applyNumberFormat="1" applyFont="1" applyFill="1" applyBorder="1" applyAlignment="1">
      <x:alignment horizontal="center" vertical="center" wrapText="1"/>
    </x:xf>
    <x:xf numFmtId="0" fontId="13" fillId="7" borderId="11" xfId="0" applyNumberFormat="1" applyFont="1" applyFill="1" applyBorder="1" applyAlignment="1">
      <x:alignment horizontal="center" vertical="center" wrapText="1"/>
    </x:xf>
    <x:xf numFmtId="0" fontId="13" fillId="7" borderId="12" xfId="0" applyNumberFormat="1" applyFont="1" applyFill="1" applyBorder="1" applyAlignment="1">
      <x:alignment horizontal="center" vertical="center" wrapText="1"/>
    </x:xf>
    <x:xf numFmtId="0" fontId="13" fillId="7" borderId="13" xfId="0" applyNumberFormat="1" applyFont="1" applyFill="1" applyBorder="1" applyAlignment="1">
      <x:alignment horizontal="center" vertical="center" wrapText="1"/>
    </x:xf>
    <x:xf numFmtId="0" fontId="13" fillId="9" borderId="11" xfId="0" applyNumberFormat="1" applyFont="1" applyFill="1" applyBorder="1" applyAlignment="1">
      <x:alignment horizontal="center" vertical="center" wrapText="1"/>
    </x:xf>
    <x:xf numFmtId="0" fontId="13" fillId="9" borderId="12" xfId="0" applyNumberFormat="1" applyFont="1" applyFill="1" applyBorder="1" applyAlignment="1">
      <x:alignment horizontal="center" vertical="center" wrapText="1"/>
    </x:xf>
    <x:xf numFmtId="0" fontId="13" fillId="9" borderId="13" xfId="0" applyNumberFormat="1" applyFont="1" applyFill="1" applyBorder="1" applyAlignment="1">
      <x:alignment horizontal="center" vertical="center" wrapText="1"/>
    </x:xf>
    <x:xf numFmtId="0" fontId="13" fillId="11" borderId="11" xfId="0" applyNumberFormat="1" applyFont="1" applyFill="1" applyBorder="1" applyAlignment="1">
      <x:alignment horizontal="center" vertical="center" wrapText="1"/>
    </x:xf>
    <x:xf numFmtId="0" fontId="13" fillId="11" borderId="12" xfId="0" applyNumberFormat="1" applyFont="1" applyFill="1" applyBorder="1" applyAlignment="1">
      <x:alignment horizontal="center" vertical="center" wrapText="1"/>
    </x:xf>
    <x:xf numFmtId="0" fontId="13" fillId="11" borderId="13" xfId="0" applyNumberFormat="1" applyFont="1" applyFill="1" applyBorder="1" applyAlignment="1">
      <x:alignment horizontal="center" vertical="center" wrapText="1"/>
    </x:xf>
    <x:xf numFmtId="0" fontId="13" fillId="13" borderId="11" xfId="0" applyNumberFormat="1" applyFont="1" applyFill="1" applyBorder="1" applyAlignment="1">
      <x:alignment horizontal="center" vertical="center" wrapText="1"/>
    </x:xf>
    <x:xf numFmtId="0" fontId="13" fillId="13" borderId="12" xfId="0" applyNumberFormat="1" applyFont="1" applyFill="1" applyBorder="1" applyAlignment="1">
      <x:alignment horizontal="center" vertical="center" wrapText="1"/>
    </x:xf>
    <x:xf numFmtId="0" fontId="13" fillId="13" borderId="13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left" vertical="center"/>
    </x:xf>
    <x:xf numFmtId="0" fontId="12" fillId="4" borderId="17" xfId="0" applyNumberFormat="1" applyFont="1" applyFill="1" applyBorder="1" applyAlignment="1">
      <x:alignment horizontal="center" vertical="center" wrapText="1"/>
    </x:xf>
    <x:xf numFmtId="0" fontId="12" fillId="4" borderId="18" xfId="0" applyNumberFormat="1" applyFont="1" applyFill="1" applyBorder="1" applyAlignment="1">
      <x:alignment horizontal="center" vertical="center" wrapText="1"/>
    </x:xf>
    <x:xf numFmtId="0" fontId="12" fillId="4" borderId="19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/>
    <x:xf numFmtId="0" fontId="11" fillId="0" borderId="9" xfId="0" applyNumberFormat="1" applyFont="1" applyFill="1" applyBorder="1" applyAlignment="1">
      <x:alignment wrapText="1"/>
    </x:xf>
    <x:xf numFmtId="0" fontId="11" fillId="0" borderId="9" xfId="0" applyNumberFormat="1" applyFont="1" applyFill="1" applyBorder="1"/>
    <x:xf numFmtId="200" fontId="11" fillId="0" borderId="9" xfId="0" applyNumberFormat="1" applyFont="1" applyFill="1" applyBorder="1"/>
    <x:xf numFmtId="0" fontId="11" fillId="0" borderId="10" xfId="0" applyNumberFormat="1" applyFont="1" applyFill="1" applyBorder="1" applyAlignment="1">
      <x:alignment wrapText="1"/>
    </x:xf>
    <x:xf numFmtId="0" fontId="11" fillId="0" borderId="22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/>
    <x:xf numFmtId="0" fontId="11" fillId="0" borderId="23" xfId="0" applyNumberFormat="1" applyFont="1" applyFill="1" applyBorder="1" applyAlignment="1">
      <x:alignment wrapText="1"/>
    </x:xf>
    <x:xf numFmtId="0" fontId="11" fillId="0" borderId="11" xfId="0" applyNumberFormat="1" applyFont="1" applyFill="1" applyBorder="1"/>
    <x:xf numFmtId="0" fontId="11" fillId="0" borderId="12" xfId="0" applyNumberFormat="1" applyFont="1" applyFill="1" applyBorder="1" applyAlignment="1">
      <x:alignment wrapText="1"/>
    </x:xf>
    <x:xf numFmtId="0" fontId="11" fillId="0" borderId="12" xfId="0" applyNumberFormat="1" applyFont="1" applyFill="1" applyBorder="1"/>
    <x:xf numFmtId="200" fontId="11" fillId="0" borderId="12" xfId="0" applyNumberFormat="1" applyFont="1" applyFill="1" applyBorder="1"/>
    <x:xf numFmtId="0" fontId="11" fillId="0" borderId="13" xfId="0" applyNumberFormat="1" applyFont="1" applyFill="1" applyBorder="1" applyAlignment="1">
      <x:alignment wrapText="1"/>
    </x:xf>
    <x:xf numFmtId="0" fontId="15" fillId="14" borderId="8" xfId="0" applyNumberFormat="1" applyFont="1" applyFill="1" applyBorder="1" applyAlignment="1">
      <x:alignment vertical="center" wrapText="1"/>
    </x:xf>
    <x:xf numFmtId="0" fontId="15" fillId="14" borderId="9" xfId="0" applyNumberFormat="1" applyFont="1" applyFill="1" applyBorder="1" applyAlignment="1">
      <x:alignment vertical="center" wrapText="1"/>
    </x:xf>
    <x:xf numFmtId="0" fontId="15" fillId="14" borderId="10" xfId="0" applyNumberFormat="1" applyFont="1" applyFill="1" applyBorder="1" applyAlignment="1">
      <x:alignment vertical="center" wrapText="1"/>
    </x:xf>
    <x:xf numFmtId="0" fontId="15" fillId="14" borderId="22" xfId="0" applyNumberFormat="1" applyFont="1" applyFill="1" applyBorder="1" applyAlignment="1">
      <x:alignment vertical="center" wrapText="1"/>
    </x:xf>
    <x:xf numFmtId="0" fontId="15" fillId="14" borderId="1" xfId="0" applyNumberFormat="1" applyFont="1" applyFill="1" applyBorder="1" applyAlignment="1">
      <x:alignment vertical="center" wrapText="1"/>
    </x:xf>
    <x:xf numFmtId="0" fontId="15" fillId="14" borderId="23" xfId="0" applyNumberFormat="1" applyFont="1" applyFill="1" applyBorder="1" applyAlignment="1">
      <x:alignment vertical="center" wrapText="1"/>
    </x:xf>
    <x:xf numFmtId="0" fontId="15" fillId="14" borderId="11" xfId="0" applyNumberFormat="1" applyFont="1" applyFill="1" applyBorder="1" applyAlignment="1">
      <x:alignment vertical="center" wrapText="1"/>
    </x:xf>
    <x:xf numFmtId="0" fontId="15" fillId="14" borderId="12" xfId="0" applyNumberFormat="1" applyFont="1" applyFill="1" applyBorder="1" applyAlignment="1">
      <x:alignment vertical="center" wrapText="1"/>
    </x:xf>
    <x:xf numFmtId="0" fontId="15" fillId="14" borderId="13" xfId="0" applyNumberFormat="1" applyFont="1" applyFill="1" applyBorder="1" applyAlignment="1">
      <x:alignment vertical="center" wrapText="1"/>
    </x:xf>
    <x:xf numFmtId="0" fontId="16" fillId="2" borderId="27" xfId="0" applyNumberFormat="1" applyFont="1" applyFill="1" applyBorder="1" applyAlignment="1">
      <x:alignment horizontal="center" vertical="center"/>
    </x:xf>
    <x:xf numFmtId="0" fontId="17" fillId="15" borderId="27" xfId="0" applyNumberFormat="1" applyFont="1" applyFill="1" applyBorder="1" applyAlignment="1">
      <x:alignment vertical="top" wrapText="1"/>
    </x:xf>
    <x:xf numFmtId="0" fontId="16" fillId="2" borderId="28" xfId="0" applyNumberFormat="1" applyFont="1" applyFill="1" applyBorder="1" applyAlignment="1">
      <x:alignment horizontal="center" vertical="center"/>
    </x:xf>
    <x:xf numFmtId="0" fontId="17" fillId="15" borderId="28" xfId="0" applyNumberFormat="1" applyFont="1" applyFill="1" applyBorder="1" applyAlignment="1">
      <x:alignment vertical="top" wrapText="1"/>
    </x:xf>
    <x:xf numFmtId="0" fontId="16" fillId="2" borderId="29" xfId="0" applyNumberFormat="1" applyFont="1" applyFill="1" applyBorder="1" applyAlignment="1">
      <x:alignment horizontal="center" vertical="center"/>
    </x:xf>
    <x:xf numFmtId="0" fontId="17" fillId="15" borderId="29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/>
    <x:xf numFmtId="0" fontId="0" fillId="3" borderId="20" xfId="0" applyNumberFormat="1" applyFont="1" applyFill="1" applyBorder="1"/>
    <x:xf numFmtId="0" fontId="0" fillId="3" borderId="5" xfId="0" applyNumberFormat="1" applyFont="1" applyFill="1" applyBorder="1"/>
    <x:xf numFmtId="0" fontId="4" fillId="3" borderId="2" xfId="0" applyNumberFormat="1" applyFont="1" applyFill="1" applyBorder="1"/>
    <x:xf numFmtId="0" fontId="4" fillId="3" borderId="20" xfId="0" applyNumberFormat="1" applyFont="1" applyFill="1" applyBorder="1"/>
    <x:xf numFmtId="0" fontId="4" fillId="3" borderId="5" xfId="0" applyNumberFormat="1" applyFont="1" applyFill="1" applyBorder="1"/>
    <x:xf numFmtId="0" fontId="4" fillId="3" borderId="24" xfId="0" applyNumberFormat="1" applyFont="1" applyFill="1" applyBorder="1"/>
    <x:xf numFmtId="0" fontId="4" fillId="3" borderId="25" xfId="0" applyNumberFormat="1" applyFont="1" applyFill="1" applyBorder="1"/>
    <x:xf numFmtId="0" fontId="4" fillId="3" borderId="26" xfId="0" applyNumberFormat="1" applyFont="1" applyFill="1" applyBorder="1"/>
    <x:xf numFmtId="0" fontId="4" fillId="3" borderId="24" xfId="0" applyNumberFormat="1" applyFont="1" applyFill="1" applyBorder="1" applyAlignment="1">
      <x:alignment wrapText="1"/>
    </x:xf>
    <x:xf numFmtId="0" fontId="4" fillId="3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0" fillId="3" borderId="8" xfId="0" applyNumberFormat="1" applyFont="1" applyFill="1" applyBorder="1"/>
    <x:xf numFmtId="0" fontId="0" fillId="3" borderId="22" xfId="0" applyNumberFormat="1" applyFont="1" applyFill="1" applyBorder="1"/>
    <x:xf numFmtId="0" fontId="0" fillId="3" borderId="11" xfId="0" applyNumberFormat="1" applyFont="1" applyFill="1" applyBorder="1"/>
    <x:xf numFmtId="0" fontId="4" fillId="3" borderId="8" xfId="0" applyNumberFormat="1" applyFont="1" applyFill="1" applyBorder="1"/>
    <x:xf numFmtId="0" fontId="4" fillId="3" borderId="22" xfId="0" applyNumberFormat="1" applyFont="1" applyFill="1" applyBorder="1"/>
    <x:xf numFmtId="0" fontId="4" fillId="3" borderId="11" xfId="0" applyNumberFormat="1" applyFont="1" applyFill="1" applyBorder="1"/>
    <x:xf numFmtId="0" fontId="4" fillId="3" borderId="27" xfId="0" applyNumberFormat="1" applyFont="1" applyFill="1" applyBorder="1"/>
    <x:xf numFmtId="0" fontId="4" fillId="3" borderId="28" xfId="0" applyNumberFormat="1" applyFont="1" applyFill="1" applyBorder="1"/>
    <x:xf numFmtId="0" fontId="4" fillId="3" borderId="29" xfId="0" applyNumberFormat="1" applyFont="1" applyFill="1" applyBorder="1"/>
    <x:xf numFmtId="0" fontId="4" fillId="3" borderId="27" xfId="0" applyNumberFormat="1" applyFont="1" applyFill="1" applyBorder="1" applyAlignment="1">
      <x:alignment wrapText="1"/>
    </x:xf>
    <x:xf numFmtId="0" fontId="4" fillId="3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" xfId="0" applyNumberFormat="1" applyFont="1" applyFill="1" applyBorder="1"/>
    <x:xf numFmtId="201" fontId="0" fillId="0" borderId="12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" xfId="0" applyNumberFormat="1" applyFont="1" applyFill="1" applyBorder="1"/>
    <x:xf numFmtId="202" fontId="0" fillId="0" borderId="12" xfId="0" applyNumberFormat="1" applyFont="1" applyFill="1" applyBorder="1"/>
    <x:xf numFmtId="203" fontId="0" fillId="0" borderId="3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" xfId="0" applyNumberFormat="1" applyFont="1" applyFill="1" applyBorder="1"/>
    <x:xf numFmtId="203" fontId="0" fillId="0" borderId="12" xfId="0" applyNumberFormat="1" applyFont="1" applyFill="1" applyBorder="1"/>
    <x:xf numFmtId="202" fontId="0" fillId="0" borderId="4" xfId="0" applyNumberFormat="1" applyFont="1" applyFill="1" applyBorder="1"/>
    <x:xf numFmtId="202" fontId="0" fillId="0" borderId="21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23" xfId="0" applyNumberFormat="1" applyFont="1" applyFill="1" applyBorder="1"/>
    <x:xf numFmtId="202" fontId="0" fillId="0" borderId="13" xfId="0" applyNumberFormat="1" applyFont="1" applyFill="1" applyBorder="1"/>
    <x:xf numFmtId="0" fontId="0" fillId="15" borderId="24" xfId="0" applyNumberFormat="1" applyFont="1" applyFill="1" applyBorder="1"/>
    <x:xf numFmtId="0" fontId="0" fillId="15" borderId="25" xfId="0" applyNumberFormat="1" applyFont="1" applyFill="1" applyBorder="1"/>
    <x:xf numFmtId="0" fontId="0" fillId="15" borderId="26" xfId="0" applyNumberFormat="1" applyFont="1" applyFill="1" applyBorder="1"/>
    <x:xf numFmtId="0" fontId="0" fillId="15" borderId="27" xfId="0" applyNumberFormat="1" applyFont="1" applyFill="1" applyBorder="1"/>
    <x:xf numFmtId="0" fontId="0" fillId="15" borderId="28" xfId="0" applyNumberFormat="1" applyFont="1" applyFill="1" applyBorder="1"/>
    <x:xf numFmtId="0" fontId="0" fillId="15" borderId="29" xfId="0" applyNumberFormat="1" applyFont="1" applyFill="1" applyBorder="1"/>
    <x:xf numFmtId="202" fontId="0" fillId="15" borderId="25" xfId="0" applyNumberFormat="1" applyFont="1" applyFill="1" applyBorder="1"/>
    <x:xf numFmtId="202" fontId="0" fillId="15" borderId="28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3" fontId="0" fillId="0" borderId="4" xfId="0" applyNumberFormat="1" applyFont="1" applyFill="1" applyBorder="1"/>
    <x:xf numFmtId="203" fontId="0" fillId="0" borderId="21" xfId="0" applyNumberFormat="1" applyFont="1" applyFill="1" applyBorder="1"/>
    <x:xf numFmtId="203" fontId="0" fillId="0" borderId="7" xfId="0" applyNumberFormat="1" applyFont="1" applyFill="1" applyBorder="1"/>
    <x:xf numFmtId="203" fontId="0" fillId="0" borderId="10" xfId="0" applyNumberFormat="1" applyFont="1" applyFill="1" applyBorder="1"/>
    <x:xf numFmtId="203" fontId="0" fillId="0" borderId="23" xfId="0" applyNumberFormat="1" applyFont="1" applyFill="1" applyBorder="1"/>
    <x:xf numFmtId="203" fontId="0" fillId="0" borderId="13" xfId="0" applyNumberFormat="1" applyFont="1" applyFill="1" applyBorder="1"/>
    <x:xf numFmtId="204" fontId="0" fillId="0" borderId="3" xfId="0" applyNumberFormat="1" applyFont="1" applyFill="1" applyBorder="1"/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204" fontId="0" fillId="0" borderId="9" xfId="0" applyNumberFormat="1" applyFont="1" applyFill="1" applyBorder="1"/>
    <x:xf numFmtId="204" fontId="0" fillId="0" borderId="1" xfId="0" applyNumberFormat="1" applyFont="1" applyFill="1" applyBorder="1"/>
    <x:xf numFmtId="204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3" fillId="3" borderId="24" xfId="0" applyNumberFormat="1" applyFont="1" applyFill="1" applyBorder="1" applyAlignment="1">
      <x:alignment wrapText="1"/>
    </x:xf>
    <x:xf numFmtId="201" fontId="11" fillId="0" borderId="3" xfId="0" applyNumberFormat="1" applyFont="1" applyFill="1" applyBorder="1"/>
    <x:xf numFmtId="202" fontId="11" fillId="0" borderId="3" xfId="0" applyNumberFormat="1" applyFont="1" applyFill="1" applyBorder="1"/>
    <x:xf numFmtId="203" fontId="11" fillId="0" borderId="3" xfId="0" applyNumberFormat="1" applyFont="1" applyFill="1" applyBorder="1"/>
    <x:xf numFmtId="202" fontId="11" fillId="0" borderId="4" xfId="0" applyNumberFormat="1" applyFont="1" applyFill="1" applyBorder="1"/>
    <x:xf numFmtId="0" fontId="13" fillId="3" borderId="25" xfId="0" applyNumberFormat="1" applyFont="1" applyFill="1" applyBorder="1" applyAlignment="1">
      <x:alignment wrapText="1"/>
    </x:xf>
    <x:xf numFmtId="201" fontId="11" fillId="0" borderId="0" xfId="0" applyNumberFormat="1" applyFont="1" applyFill="1" applyBorder="1"/>
    <x:xf numFmtId="202" fontId="11" fillId="0" borderId="0" xfId="0" applyNumberFormat="1" applyFont="1" applyFill="1" applyBorder="1"/>
    <x:xf numFmtId="203" fontId="11" fillId="0" borderId="0" xfId="0" applyNumberFormat="1" applyFont="1" applyFill="1" applyBorder="1"/>
    <x:xf numFmtId="202" fontId="11" fillId="0" borderId="21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203" fontId="11" fillId="0" borderId="4" xfId="0" applyNumberFormat="1" applyFont="1" applyFill="1" applyBorder="1"/>
    <x:xf numFmtId="0" fontId="11" fillId="0" borderId="20" xfId="0" applyNumberFormat="1" applyFont="1" applyFill="1" applyBorder="1" applyAlignment="1">
      <x:alignment wrapText="1"/>
    </x:xf>
    <x:xf numFmtId="203" fontId="11" fillId="0" borderId="21" xfId="0" applyNumberFormat="1" applyFont="1" applyFill="1" applyBorder="1"/>
    <x:xf numFmtId="0" fontId="13" fillId="3" borderId="26" xfId="0" applyNumberFormat="1" applyFont="1" applyFill="1" applyBorder="1" applyAlignment="1">
      <x:alignment wrapText="1"/>
    </x:xf>
    <x:xf numFmtId="201" fontId="11" fillId="0" borderId="6" xfId="0" applyNumberFormat="1" applyFont="1" applyFill="1" applyBorder="1"/>
    <x:xf numFmtId="202" fontId="11" fillId="0" borderId="6" xfId="0" applyNumberFormat="1" applyFont="1" applyFill="1" applyBorder="1"/>
    <x:xf numFmtId="203" fontId="11" fillId="0" borderId="6" xfId="0" applyNumberFormat="1" applyFont="1" applyFill="1" applyBorder="1"/>
    <x:xf numFmtId="202" fontId="11" fillId="0" borderId="7" xfId="0" applyNumberFormat="1" applyFont="1" applyFill="1" applyBorder="1"/>
    <x:xf numFmtId="0" fontId="16" fillId="2" borderId="24" xfId="0" applyNumberFormat="1" applyFont="1" applyFill="1" applyBorder="1"/>
    <x:xf numFmtId="0" fontId="11" fillId="15" borderId="24" xfId="0" applyNumberFormat="1" applyFont="1" applyFill="1" applyBorder="1"/>
    <x:xf numFmtId="0" fontId="16" fillId="2" borderId="25" xfId="0" applyNumberFormat="1" applyFont="1" applyFill="1" applyBorder="1"/>
    <x:xf numFmtId="202" fontId="11" fillId="15" borderId="25" xfId="0" applyNumberFormat="1" applyFont="1" applyFill="1" applyBorder="1"/>
    <x:xf numFmtId="0" fontId="11" fillId="0" borderId="5" xfId="0" applyNumberFormat="1" applyFont="1" applyFill="1" applyBorder="1" applyAlignment="1">
      <x:alignment wrapText="1"/>
    </x:xf>
    <x:xf numFmtId="203" fontId="11" fillId="0" borderId="7" xfId="0" applyNumberFormat="1" applyFont="1" applyFill="1" applyBorder="1"/>
    <x:xf numFmtId="0" fontId="16" fillId="2" borderId="26" xfId="0" applyNumberFormat="1" applyFont="1" applyFill="1" applyBorder="1"/>
    <x:xf numFmtId="0" fontId="11" fillId="15" borderId="26" xfId="0" applyNumberFormat="1" applyFont="1" applyFill="1" applyBorder="1"/>
    <x:xf numFmtId="0" fontId="13" fillId="3" borderId="27" xfId="0" applyNumberFormat="1" applyFont="1" applyFill="1" applyBorder="1" applyAlignment="1">
      <x:alignment wrapText="1"/>
    </x:xf>
    <x:xf numFmtId="201" fontId="11" fillId="0" borderId="9" xfId="0" applyNumberFormat="1" applyFont="1" applyFill="1" applyBorder="1"/>
    <x:xf numFmtId="202" fontId="11" fillId="0" borderId="9" xfId="0" applyNumberFormat="1" applyFont="1" applyFill="1" applyBorder="1"/>
    <x:xf numFmtId="203" fontId="11" fillId="0" borderId="9" xfId="0" applyNumberFormat="1" applyFont="1" applyFill="1" applyBorder="1"/>
    <x:xf numFmtId="202" fontId="11" fillId="0" borderId="10" xfId="0" applyNumberFormat="1" applyFont="1" applyFill="1" applyBorder="1"/>
    <x:xf numFmtId="0" fontId="13" fillId="3" borderId="28" xfId="0" applyNumberFormat="1" applyFont="1" applyFill="1" applyBorder="1" applyAlignment="1">
      <x:alignment wrapText="1"/>
    </x:xf>
    <x:xf numFmtId="201" fontId="11" fillId="0" borderId="1" xfId="0" applyNumberFormat="1" applyFont="1" applyFill="1" applyBorder="1"/>
    <x:xf numFmtId="202" fontId="11" fillId="0" borderId="1" xfId="0" applyNumberFormat="1" applyFont="1" applyFill="1" applyBorder="1"/>
    <x:xf numFmtId="203" fontId="11" fillId="0" borderId="1" xfId="0" applyNumberFormat="1" applyFont="1" applyFill="1" applyBorder="1"/>
    <x:xf numFmtId="202" fontId="11" fillId="0" borderId="23" xfId="0" applyNumberFormat="1" applyFont="1" applyFill="1" applyBorder="1"/>
    <x:xf numFmtId="0" fontId="11" fillId="0" borderId="8" xfId="0" applyNumberFormat="1" applyFont="1" applyFill="1" applyBorder="1" applyAlignment="1">
      <x:alignment wrapText="1"/>
    </x:xf>
    <x:xf numFmtId="203" fontId="11" fillId="0" borderId="10" xfId="0" applyNumberFormat="1" applyFont="1" applyFill="1" applyBorder="1"/>
    <x:xf numFmtId="0" fontId="11" fillId="0" borderId="22" xfId="0" applyNumberFormat="1" applyFont="1" applyFill="1" applyBorder="1" applyAlignment="1">
      <x:alignment wrapText="1"/>
    </x:xf>
    <x:xf numFmtId="203" fontId="11" fillId="0" borderId="23" xfId="0" applyNumberFormat="1" applyFont="1" applyFill="1" applyBorder="1"/>
    <x:xf numFmtId="0" fontId="13" fillId="3" borderId="29" xfId="0" applyNumberFormat="1" applyFont="1" applyFill="1" applyBorder="1" applyAlignment="1">
      <x:alignment wrapText="1"/>
    </x:xf>
    <x:xf numFmtId="201" fontId="11" fillId="0" borderId="12" xfId="0" applyNumberFormat="1" applyFont="1" applyFill="1" applyBorder="1"/>
    <x:xf numFmtId="202" fontId="11" fillId="0" borderId="12" xfId="0" applyNumberFormat="1" applyFont="1" applyFill="1" applyBorder="1"/>
    <x:xf numFmtId="203" fontId="11" fillId="0" borderId="12" xfId="0" applyNumberFormat="1" applyFont="1" applyFill="1" applyBorder="1"/>
    <x:xf numFmtId="202" fontId="11" fillId="0" borderId="13" xfId="0" applyNumberFormat="1" applyFont="1" applyFill="1" applyBorder="1"/>
    <x:xf numFmtId="0" fontId="16" fillId="2" borderId="27" xfId="0" applyNumberFormat="1" applyFont="1" applyFill="1" applyBorder="1"/>
    <x:xf numFmtId="0" fontId="11" fillId="15" borderId="27" xfId="0" applyNumberFormat="1" applyFont="1" applyFill="1" applyBorder="1"/>
    <x:xf numFmtId="0" fontId="16" fillId="2" borderId="28" xfId="0" applyNumberFormat="1" applyFont="1" applyFill="1" applyBorder="1"/>
    <x:xf numFmtId="202" fontId="11" fillId="15" borderId="28" xfId="0" applyNumberFormat="1" applyFont="1" applyFill="1" applyBorder="1"/>
    <x:xf numFmtId="0" fontId="11" fillId="0" borderId="11" xfId="0" applyNumberFormat="1" applyFont="1" applyFill="1" applyBorder="1" applyAlignment="1">
      <x:alignment wrapText="1"/>
    </x:xf>
    <x:xf numFmtId="203" fontId="11" fillId="0" borderId="13" xfId="0" applyNumberFormat="1" applyFont="1" applyFill="1" applyBorder="1"/>
    <x:xf numFmtId="0" fontId="16" fillId="2" borderId="29" xfId="0" applyNumberFormat="1" applyFont="1" applyFill="1" applyBorder="1"/>
    <x:xf numFmtId="0" fontId="11" fillId="15" borderId="29" xfId="0" applyNumberFormat="1" applyFont="1" applyFill="1" applyBorder="1"/>
    <x:xf numFmtId="204" fontId="11" fillId="0" borderId="3" xfId="0" applyNumberFormat="1" applyFont="1" applyFill="1" applyBorder="1"/>
    <x:xf numFmtId="204" fontId="11" fillId="0" borderId="0" xfId="0" applyNumberFormat="1" applyFont="1" applyFill="1" applyBorder="1"/>
    <x:xf numFmtId="204" fontId="11" fillId="0" borderId="6" xfId="0" applyNumberFormat="1" applyFont="1" applyFill="1" applyBorder="1"/>
    <x:xf numFmtId="204" fontId="11" fillId="0" borderId="9" xfId="0" applyNumberFormat="1" applyFont="1" applyFill="1" applyBorder="1"/>
    <x:xf numFmtId="204" fontId="11" fillId="0" borderId="1" xfId="0" applyNumberFormat="1" applyFont="1" applyFill="1" applyBorder="1"/>
    <x:xf numFmtId="204" fontId="11" fillId="0" borderId="12" xfId="0" applyNumberFormat="1" applyFont="1" applyFill="1" applyBorder="1"/>
    <x:xf numFmtId="0" fontId="11" fillId="0" borderId="4" xfId="0" applyNumberFormat="1" applyFont="1" applyFill="1" applyBorder="1"/>
    <x:xf numFmtId="0" fontId="11" fillId="0" borderId="21" xfId="0" applyNumberFormat="1" applyFont="1" applyFill="1" applyBorder="1"/>
    <x:xf numFmtId="0" fontId="11" fillId="0" borderId="7" xfId="0" applyNumberFormat="1" applyFont="1" applyFill="1" applyBorder="1"/>
    <x:xf numFmtId="0" fontId="11" fillId="0" borderId="10" xfId="0" applyNumberFormat="1" applyFont="1" applyFill="1" applyBorder="1"/>
    <x:xf numFmtId="0" fontId="11" fillId="0" borderId="23" xfId="0" applyNumberFormat="1" applyFont="1" applyFill="1" applyBorder="1"/>
    <x:xf numFmtId="0" fontId="11" fillId="0" borderId="13" xfId="0" applyNumberFormat="1" applyFont="1" applyFill="1" applyBorder="1"/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2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21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22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3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8a57eecf84af8" /><Relationship Type="http://schemas.openxmlformats.org/officeDocument/2006/relationships/theme" Target="/xl/theme/theme1.xml" Id="Ree0d3789fb7e4717" /><Relationship Type="http://schemas.openxmlformats.org/officeDocument/2006/relationships/sharedStrings" Target="/xl/sharedStrings.xml" Id="R1749ff1f3a7740a6" /><Relationship Type="http://schemas.openxmlformats.org/officeDocument/2006/relationships/worksheet" Target="/xl/worksheets/sheet1.xml" Id="R50975bee732c4e97" /><Relationship Type="http://schemas.openxmlformats.org/officeDocument/2006/relationships/worksheet" Target="/xl/worksheets/sheet2.xml" Id="R847a6620935b470e" /><Relationship Type="http://schemas.openxmlformats.org/officeDocument/2006/relationships/worksheet" Target="/xl/worksheets/sheet3.xml" Id="Rff78a20e0f03446c" /><Relationship Type="http://schemas.openxmlformats.org/officeDocument/2006/relationships/worksheet" Target="/xl/worksheets/sheet4.xml" Id="R5f07a3058707445d" /><Relationship Type="http://schemas.openxmlformats.org/officeDocument/2006/relationships/worksheet" Target="/xl/worksheets/sheet5.xml" Id="R68e760f2c1cb46ac" /><Relationship Type="http://schemas.openxmlformats.org/officeDocument/2006/relationships/worksheet" Target="/xl/worksheets/sheet6.xml" Id="R1d0b044b370446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cffe7ed8cb4b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ten AHP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Lane</c:v>
          </c:tx>
          <c:cat>
            <c:strRef>
              <c:f>'Executive Summary'!$B$11:$B$20</c:f>
              <c:strCache>
                <c:ptCount val="0"/>
              </c:strCache>
            </c:strRef>
          </c:cat>
          <c:val>
            <c:numRef>
              <c:f>'Executive Summary'!$C$11:$C$20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Score / 100</c:v>
          </c:tx>
          <c:cat>
            <c:strRef>
              <c:f>'Executive Summary'!$B$11:$B$20</c:f>
              <c:strCache>
                <c:ptCount val="0"/>
              </c:strCache>
            </c:strRef>
          </c:cat>
          <c:val>
            <c:numRef>
              <c:f>'Executive Summary'!$D$11:$D$20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cffe7ed8cb4b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thOptionsTable" displayName="AuthOptionsTable" ref="A2:W25" headerRowCount="1">
  <x:tableColumns count="23">
    <x:tableColumn id="1" name="Rank"/>
    <x:tableColumn id="2" name="Option"/>
    <x:tableColumn id="3" name="Lane"/>
    <x:tableColumn id="4" name="Recommendation"/>
    <x:tableColumn id="5" name="Horizon"/>
    <x:tableColumn id="6" name="Confidence"/>
    <x:tableColumn id="7" name="Near-term channels"/>
    <x:tableColumn id="8" name="Architecture fit"/>
    <x:tableColumn id="9" name="Chain agnostic"/>
    <x:tableColumn id="10" name="Friction"/>
    <x:tableColumn id="11" name="Security"/>
    <x:tableColumn id="12" name="Maturity"/>
    <x:tableColumn id="13" name="Time to prod"/>
    <x:tableColumn id="14" name="Sovereignty"/>
    <x:tableColumn id="15" name="Session continuity"/>
    <x:tableColumn id="16" name="Ops / TCO"/>
    <x:tableColumn id="17" name="Weighted mean"/>
    <x:tableColumn id="18" name="AHP score / 100"/>
    <x:tableColumn id="19" name="Rank range"/>
    <x:tableColumn id="20" name="Applicability to identity-api"/>
    <x:tableColumn id="21" name="Key tradeoff / limitation"/>
    <x:tableColumn id="22" name="Primary source 1"/>
    <x:tableColumn id="23" name="Primary source 2"/>
  </x:tableColumns>
  <x:tableStyleInfo name="TableStyleMedium2" showRowStripes="1"/>
</x:table>
</file>

<file path=xl/tables/table2.xml><?xml version="1.0" encoding="utf-8"?>
<x:table xmlns:x="http://schemas.openxmlformats.org/spreadsheetml/2006/main" id="2" name="PortfolioTable" displayName="PortfolioTable" ref="A2:H17" headerRowCount="1">
  <x:tableColumns count="8">
    <x:tableColumn id="1" name="Phase"/>
    <x:tableColumn id="2" name="Component"/>
    <x:tableColumn id="3" name="Decision"/>
    <x:tableColumn id="4" name="What it owns"/>
    <x:tableColumn id="5" name="What it must not own"/>
    <x:tableColumn id="6" name="Why / role"/>
    <x:tableColumn id="7" name="Acceptance condition"/>
    <x:tableColumn id="8" name="Kill / stop condition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2:G43" headerRowCount="1">
  <x:tableColumns count="7">
    <x:tableColumn id="1" name="Source ID"/>
    <x:tableColumn id="2" name="Category"/>
    <x:tableColumn id="3" name="Publisher"/>
    <x:tableColumn id="4" name="Source"/>
    <x:tableColumn id="5" name="Status / maturity"/>
    <x:tableColumn id="6" name="Load-bearing use"/>
    <x:tableColumn id="7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d40166351c4e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e8829fbb01245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d9519090cbd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4236f0c32eb4d6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13" hidden="0" customWidth="1"/>
    <x:col min="5" max="5" width="18" hidden="0" customWidth="1"/>
    <x:col min="6" max="6" width="3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481" t="str">
        <x:v>Identity API Authentication &amp; Linking — AHP Decision Matrix</x:v>
      </x:c>
      <x:c r="B1" s="481"/>
      <x:c r="C1" s="481"/>
      <x:c r="D1" s="481"/>
      <x:c r="E1" s="481"/>
      <x:c r="F1" s="481"/>
      <x:c r="G1" s="481"/>
      <x:c r="H1" s="481"/>
      <x:c r="I1" s="481"/>
      <x:c r="J1" s="481"/>
      <x:c r="K1" s="481"/>
      <x:c r="L1" s="481"/>
      <x:c r="M1" s="481"/>
      <x:c r="N1" s="481"/>
      <x:c r="O1" s="481"/>
      <x:c r="P1" s="483"/>
      <x:c r="Q1" s="483"/>
      <x:c r="R1" s="483"/>
      <x:c r="S1" s="483"/>
      <x:c r="T1" s="483"/>
      <x:c r="U1" s="483"/>
      <x:c r="V1" s="483"/>
      <x:c r="W1" s="483"/>
    </x:row>
    <x:row r="2" ht="28" customHeight="1">
      <x:c r="A2" s="481"/>
      <x:c r="B2" s="481"/>
      <x:c r="C2" s="481"/>
      <x:c r="D2" s="481"/>
      <x:c r="E2" s="481"/>
      <x:c r="F2" s="481"/>
      <x:c r="G2" s="481"/>
      <x:c r="H2" s="481"/>
      <x:c r="I2" s="481"/>
      <x:c r="J2" s="481"/>
      <x:c r="K2" s="481"/>
      <x:c r="L2" s="481"/>
      <x:c r="M2" s="481"/>
      <x:c r="N2" s="481"/>
      <x:c r="O2" s="481"/>
      <x:c r="P2" s="483"/>
      <x:c r="Q2" s="483"/>
      <x:c r="R2" s="483"/>
      <x:c r="S2" s="483"/>
      <x:c r="T2" s="483"/>
      <x:c r="U2" s="483"/>
      <x:c r="V2" s="483"/>
      <x:c r="W2" s="483"/>
    </x:row>
    <x:row r="3" ht="30" customHeight="1">
      <x:c r="A3" s="482" t="str">
        <x:v>As of 2026-07-19 · identity-api 6908a76f45 · loa-aleph 5472292fd2 · Goal: platform/chain-agnostic canonical identity with low-friction wallet, Discord, and Telegram entry.</x:v>
      </x:c>
      <x:c r="B3" s="482"/>
      <x:c r="C3" s="482"/>
      <x:c r="D3" s="482"/>
      <x:c r="E3" s="482"/>
      <x:c r="F3" s="482"/>
      <x:c r="G3" s="482"/>
      <x:c r="H3" s="482"/>
      <x:c r="I3" s="482"/>
      <x:c r="J3" s="482"/>
      <x:c r="K3" s="482"/>
      <x:c r="L3" s="482"/>
      <x:c r="M3" s="482"/>
      <x:c r="N3" s="482"/>
      <x:c r="O3" s="482"/>
      <x:c r="P3" s="483"/>
      <x:c r="Q3" s="483"/>
      <x:c r="R3" s="483"/>
      <x:c r="S3" s="483"/>
      <x:c r="T3" s="483"/>
      <x:c r="U3" s="483"/>
      <x:c r="V3" s="483"/>
      <x:c r="W3" s="483"/>
    </x:row>
    <x:row r="4">
      <x:c r="A4" s="483"/>
      <x:c r="B4" s="483"/>
      <x:c r="C4" s="483"/>
      <x:c r="D4" s="483"/>
      <x:c r="E4" s="483"/>
      <x:c r="F4" s="483"/>
      <x:c r="G4" s="483"/>
      <x:c r="H4" s="483"/>
      <x:c r="I4" s="483"/>
      <x:c r="J4" s="483"/>
      <x:c r="K4" s="483"/>
      <x:c r="L4" s="483"/>
      <x:c r="M4" s="483"/>
      <x:c r="N4" s="483"/>
      <x:c r="O4" s="483"/>
      <x:c r="P4" s="483"/>
      <x:c r="Q4" s="483"/>
      <x:c r="R4" s="483"/>
      <x:c r="S4" s="483"/>
      <x:c r="T4" s="483"/>
      <x:c r="U4" s="483"/>
      <x:c r="V4" s="483"/>
      <x:c r="W4" s="483"/>
    </x:row>
    <x:row r="5">
      <x:c r="A5" s="484" t="str">
        <x:v>Recommended baseline</x:v>
      </x:c>
      <x:c r="B5" s="484"/>
      <x:c r="C5" s="484"/>
      <x:c r="D5" s="485" t="str">
        <x:v>AHP consistency</x:v>
      </x:c>
      <x:c r="E5" s="485"/>
      <x:c r="F5" s="485"/>
      <x:c r="G5" s="486" t="str">
        <x:v>Near-term chat</x:v>
      </x:c>
      <x:c r="H5" s="486"/>
      <x:c r="I5" s="486"/>
      <x:c r="J5" s="487" t="str">
        <x:v>Wallet UX</x:v>
      </x:c>
      <x:c r="K5" s="487"/>
      <x:c r="L5" s="487"/>
      <x:c r="M5" s="488" t="str">
        <x:v>Build vs buy</x:v>
      </x:c>
      <x:c r="N5" s="488"/>
      <x:c r="O5" s="488"/>
      <x:c r="P5" s="483"/>
      <x:c r="Q5" s="483"/>
      <x:c r="R5" s="483"/>
      <x:c r="S5" s="483"/>
      <x:c r="T5" s="483"/>
      <x:c r="U5" s="483"/>
      <x:c r="V5" s="483"/>
      <x:c r="W5" s="483"/>
    </x:row>
    <x:row r="6">
      <x:c r="A6" s="489" t="str">
        <x:v>Native identity-api broker + durable session</x:v>
      </x:c>
      <x:c r="B6" s="490"/>
      <x:c r="C6" s="491"/>
      <x:c r="D6" s="492" t="str">
        <x:v>CR = 0.005 · comfortably below 0.10</x:v>
      </x:c>
      <x:c r="E6" s="493"/>
      <x:c r="F6" s="494"/>
      <x:c r="G6" s="495" t="str">
        <x:v>Telegram OIDC + Discord OAuth + guarded bot linking</x:v>
      </x:c>
      <x:c r="H6" s="496"/>
      <x:c r="I6" s="497"/>
      <x:c r="J6" s="498" t="str">
        <x:v>Reown SIWX / One-Click preferred; SIWE fallback</x:v>
      </x:c>
      <x:c r="K6" s="499"/>
      <x:c r="L6" s="500"/>
      <x:c r="M6" s="501" t="str">
        <x:v>Privy/Dynamic win only when activation speed dominates sovereignty</x:v>
      </x:c>
      <x:c r="N6" s="502"/>
      <x:c r="O6" s="503"/>
      <x:c r="P6" s="483"/>
      <x:c r="Q6" s="483"/>
      <x:c r="R6" s="483"/>
      <x:c r="S6" s="483"/>
      <x:c r="T6" s="483"/>
      <x:c r="U6" s="483"/>
      <x:c r="V6" s="483"/>
      <x:c r="W6" s="483"/>
    </x:row>
    <x:row r="7">
      <x:c r="A7" s="504"/>
      <x:c r="B7" s="505"/>
      <x:c r="C7" s="506"/>
      <x:c r="D7" s="507"/>
      <x:c r="E7" s="508"/>
      <x:c r="F7" s="509"/>
      <x:c r="G7" s="510"/>
      <x:c r="H7" s="511"/>
      <x:c r="I7" s="512"/>
      <x:c r="J7" s="513"/>
      <x:c r="K7" s="514"/>
      <x:c r="L7" s="515"/>
      <x:c r="M7" s="516"/>
      <x:c r="N7" s="517"/>
      <x:c r="O7" s="518"/>
      <x:c r="P7" s="483"/>
      <x:c r="Q7" s="483"/>
      <x:c r="R7" s="483"/>
      <x:c r="S7" s="483"/>
      <x:c r="T7" s="483"/>
      <x:c r="U7" s="483"/>
      <x:c r="V7" s="483"/>
      <x:c r="W7" s="483"/>
    </x:row>
    <x:row r="8">
      <x:c r="A8" s="483"/>
      <x:c r="B8" s="483"/>
      <x:c r="C8" s="483"/>
      <x:c r="D8" s="483"/>
      <x:c r="E8" s="483"/>
      <x:c r="F8" s="483"/>
      <x:c r="G8" s="483"/>
      <x:c r="H8" s="483"/>
      <x:c r="I8" s="483"/>
      <x:c r="J8" s="483"/>
      <x:c r="K8" s="483"/>
      <x:c r="L8" s="483"/>
      <x:c r="M8" s="483"/>
      <x:c r="N8" s="483"/>
      <x:c r="O8" s="483"/>
      <x:c r="P8" s="483"/>
      <x:c r="Q8" s="483"/>
      <x:c r="R8" s="483"/>
      <x:c r="S8" s="483"/>
      <x:c r="T8" s="483"/>
      <x:c r="U8" s="483"/>
      <x:c r="V8" s="483"/>
      <x:c r="W8" s="483"/>
    </x:row>
    <x:row r="9">
      <x:c r="A9" s="519" t="str">
        <x:v>Top options under the base/channel-first weighting</x:v>
      </x:c>
      <x:c r="B9" s="519"/>
      <x:c r="C9" s="519"/>
      <x:c r="D9" s="519"/>
      <x:c r="E9" s="519"/>
      <x:c r="F9" s="519"/>
      <x:c r="G9" s="519"/>
      <x:c r="H9" s="483"/>
      <x:c r="I9" s="483"/>
      <x:c r="J9" s="483"/>
      <x:c r="K9" s="483"/>
      <x:c r="L9" s="483"/>
      <x:c r="M9" s="483"/>
      <x:c r="N9" s="483"/>
      <x:c r="O9" s="483"/>
      <x:c r="P9" s="483"/>
      <x:c r="Q9" s="483"/>
      <x:c r="R9" s="483"/>
      <x:c r="S9" s="483"/>
      <x:c r="T9" s="483"/>
      <x:c r="U9" s="483"/>
      <x:c r="V9" s="483"/>
      <x:c r="W9" s="483"/>
    </x:row>
    <x:row r="10">
      <x:c r="A10" s="520" t="str">
        <x:v>Rank</x:v>
      </x:c>
      <x:c r="B10" s="521" t="str">
        <x:v>Option</x:v>
      </x:c>
      <x:c r="C10" s="521" t="str">
        <x:v>Lane</x:v>
      </x:c>
      <x:c r="D10" s="521" t="str">
        <x:v>Score / 100</x:v>
      </x:c>
      <x:c r="E10" s="521" t="str">
        <x:v>Rank across scenarios</x:v>
      </x:c>
      <x:c r="F10" s="521" t="str">
        <x:v>Recommendation</x:v>
      </x:c>
      <x:c r="G10" s="522" t="str">
        <x:v>Horizon</x:v>
      </x:c>
      <x:c r="H10" s="483"/>
      <x:c r="I10" s="483"/>
      <x:c r="J10" s="483"/>
      <x:c r="K10" s="483"/>
      <x:c r="L10" s="483"/>
      <x:c r="M10" s="483"/>
      <x:c r="N10" s="483"/>
      <x:c r="O10" s="483"/>
      <x:c r="P10" s="483"/>
      <x:c r="Q10" s="483"/>
      <x:c r="R10" s="483"/>
      <x:c r="S10" s="483"/>
      <x:c r="T10" s="483"/>
      <x:c r="U10" s="483"/>
      <x:c r="V10" s="483"/>
      <x:c r="W10" s="483"/>
    </x:row>
    <x:row r="11">
      <x:c r="A11" s="523" t="n">
        <x:f>'Option Matrix'!A3</x:f>
        <x:v>1</x:v>
      </x:c>
      <x:c r="B11" s="524" t="str">
        <x:f>'Option Matrix'!B3</x:f>
        <x:v>Native identity-api broker + durable session</x:v>
      </x:c>
      <x:c r="C11" s="525" t="str">
        <x:f>'Option Matrix'!C3</x:f>
        <x:v>Foundation</x:v>
      </x:c>
      <x:c r="D11" s="526" t="n">
        <x:f>'Option Matrix'!R3</x:f>
        <x:v>91.027859</x:v>
      </x:c>
      <x:c r="E11" s="525" t="str">
        <x:f>'Option Matrix'!S3</x:f>
        <x:v>1–8</x:v>
      </x:c>
      <x:c r="F11" s="524" t="str">
        <x:f>'Option Matrix'!D3</x:f>
        <x:v>ADOPT — platform baseline</x:v>
      </x:c>
      <x:c r="G11" s="527" t="str">
        <x:f>'Option Matrix'!E3</x:f>
        <x:v>P0 / now</x:v>
      </x:c>
      <x:c r="H11" s="483"/>
      <x:c r="I11" s="483"/>
      <x:c r="J11" s="483"/>
      <x:c r="K11" s="483"/>
      <x:c r="L11" s="483"/>
      <x:c r="M11" s="483"/>
      <x:c r="N11" s="483"/>
      <x:c r="O11" s="483"/>
      <x:c r="P11" s="483"/>
      <x:c r="Q11" s="483"/>
      <x:c r="R11" s="483"/>
      <x:c r="S11" s="483"/>
      <x:c r="T11" s="483"/>
      <x:c r="U11" s="483"/>
      <x:c r="V11" s="483"/>
      <x:c r="W11" s="483"/>
    </x:row>
    <x:row r="12">
      <x:c r="A12" s="528" t="n">
        <x:f>'Option Matrix'!A4</x:f>
        <x:v>2</x:v>
      </x:c>
      <x:c r="B12" s="529" t="str">
        <x:f>'Option Matrix'!B4</x:f>
        <x:v>Telegram OIDC linking</x:v>
      </x:c>
      <x:c r="C12" s="483" t="str">
        <x:f>'Option Matrix'!C4</x:f>
        <x:v>Chat/social</x:v>
      </x:c>
      <x:c r="D12" s="530" t="n">
        <x:f>'Option Matrix'!R4</x:f>
        <x:v>89.897484</x:v>
      </x:c>
      <x:c r="E12" s="483" t="str">
        <x:f>'Option Matrix'!S4</x:f>
        <x:v>2–4</x:v>
      </x:c>
      <x:c r="F12" s="529" t="str">
        <x:f>'Option Matrix'!D4</x:f>
        <x:v>ADOPT</x:v>
      </x:c>
      <x:c r="G12" s="531" t="str">
        <x:f>'Option Matrix'!E4</x:f>
        <x:v>P0</x:v>
      </x:c>
      <x:c r="H12" s="483"/>
      <x:c r="I12" s="483"/>
      <x:c r="J12" s="483"/>
      <x:c r="K12" s="483"/>
      <x:c r="L12" s="483"/>
      <x:c r="M12" s="483"/>
      <x:c r="N12" s="483"/>
      <x:c r="O12" s="483"/>
      <x:c r="P12" s="483"/>
      <x:c r="Q12" s="483"/>
      <x:c r="R12" s="483"/>
      <x:c r="S12" s="483"/>
      <x:c r="T12" s="483"/>
      <x:c r="U12" s="483"/>
      <x:c r="V12" s="483"/>
      <x:c r="W12" s="483"/>
    </x:row>
    <x:row r="13">
      <x:c r="A13" s="528" t="n">
        <x:f>'Option Matrix'!A5</x:f>
        <x:v>3</x:v>
      </x:c>
      <x:c r="B13" s="529" t="str">
        <x:f>'Option Matrix'!B5</x:f>
        <x:v>Discord OAuth2 linking</x:v>
      </x:c>
      <x:c r="C13" s="483" t="str">
        <x:f>'Option Matrix'!C5</x:f>
        <x:v>Chat/social</x:v>
      </x:c>
      <x:c r="D13" s="530" t="n">
        <x:f>'Option Matrix'!R5</x:f>
        <x:v>89.011896</x:v>
      </x:c>
      <x:c r="E13" s="483" t="str">
        <x:f>'Option Matrix'!S5</x:f>
        <x:v>2–7</x:v>
      </x:c>
      <x:c r="F13" s="529" t="str">
        <x:f>'Option Matrix'!D5</x:f>
        <x:v>ADOPT</x:v>
      </x:c>
      <x:c r="G13" s="531" t="str">
        <x:f>'Option Matrix'!E5</x:f>
        <x:v>P0</x:v>
      </x:c>
      <x:c r="H13" s="483"/>
      <x:c r="I13" s="483"/>
      <x:c r="J13" s="483"/>
      <x:c r="K13" s="483"/>
      <x:c r="L13" s="483"/>
      <x:c r="M13" s="483"/>
      <x:c r="N13" s="483"/>
      <x:c r="O13" s="483"/>
      <x:c r="P13" s="483"/>
      <x:c r="Q13" s="483"/>
      <x:c r="R13" s="483"/>
      <x:c r="S13" s="483"/>
      <x:c r="T13" s="483"/>
      <x:c r="U13" s="483"/>
      <x:c r="V13" s="483"/>
      <x:c r="W13" s="483"/>
    </x:row>
    <x:row r="14">
      <x:c r="A14" s="528" t="n">
        <x:f>'Option Matrix'!A6</x:f>
        <x:v>4</x:v>
      </x:c>
      <x:c r="B14" s="529" t="str">
        <x:f>'Option Matrix'!B6</x:f>
        <x:v>Discord/Telegram bot deep-link + one-time code</x:v>
      </x:c>
      <x:c r="C14" s="483" t="str">
        <x:f>'Option Matrix'!C6</x:f>
        <x:v>Chat-native</x:v>
      </x:c>
      <x:c r="D14" s="530" t="n">
        <x:f>'Option Matrix'!R6</x:f>
        <x:v>88.197157</x:v>
      </x:c>
      <x:c r="E14" s="483" t="str">
        <x:f>'Option Matrix'!S6</x:f>
        <x:v>4–11</x:v>
      </x:c>
      <x:c r="F14" s="529" t="str">
        <x:f>'Option Matrix'!D6</x:f>
        <x:v>ADOPT with cross-device guardrails</x:v>
      </x:c>
      <x:c r="G14" s="531" t="str">
        <x:f>'Option Matrix'!E6</x:f>
        <x:v>P0</x:v>
      </x:c>
      <x:c r="H14" s="483"/>
      <x:c r="I14" s="483"/>
      <x:c r="J14" s="483"/>
      <x:c r="K14" s="483"/>
      <x:c r="L14" s="483"/>
      <x:c r="M14" s="483"/>
      <x:c r="N14" s="483"/>
      <x:c r="O14" s="483"/>
      <x:c r="P14" s="483"/>
      <x:c r="Q14" s="483"/>
      <x:c r="R14" s="483"/>
      <x:c r="S14" s="483"/>
      <x:c r="T14" s="483"/>
      <x:c r="U14" s="483"/>
      <x:c r="V14" s="483"/>
      <x:c r="W14" s="483"/>
    </x:row>
    <x:row r="15">
      <x:c r="A15" s="528" t="n">
        <x:f>'Option Matrix'!A7</x:f>
        <x:v>5</x:v>
      </x:c>
      <x:c r="B15" s="529" t="str">
        <x:f>'Option Matrix'!B7</x:f>
        <x:v>Native WebAuthn/passkey adapter</x:v>
      </x:c>
      <x:c r="C15" s="483" t="str">
        <x:f>'Option Matrix'!C7</x:f>
        <x:v>Credential</x:v>
      </x:c>
      <x:c r="D15" s="530" t="n">
        <x:f>'Option Matrix'!R7</x:f>
        <x:v>87.415777</x:v>
      </x:c>
      <x:c r="E15" s="483" t="str">
        <x:f>'Option Matrix'!S7</x:f>
        <x:v>2–13</x:v>
      </x:c>
      <x:c r="F15" s="529" t="str">
        <x:f>'Option Matrix'!D7</x:f>
        <x:v>ADOPT after first verified credential</x:v>
      </x:c>
      <x:c r="G15" s="531" t="str">
        <x:f>'Option Matrix'!E7</x:f>
        <x:v>P1</x:v>
      </x:c>
      <x:c r="H15" s="483"/>
      <x:c r="I15" s="483"/>
      <x:c r="J15" s="483"/>
      <x:c r="K15" s="483"/>
      <x:c r="L15" s="483"/>
      <x:c r="M15" s="483"/>
      <x:c r="N15" s="483"/>
      <x:c r="O15" s="483"/>
      <x:c r="P15" s="483"/>
      <x:c r="Q15" s="483"/>
      <x:c r="R15" s="483"/>
      <x:c r="S15" s="483"/>
      <x:c r="T15" s="483"/>
      <x:c r="U15" s="483"/>
      <x:c r="V15" s="483"/>
      <x:c r="W15" s="483"/>
    </x:row>
    <x:row r="16">
      <x:c r="A16" s="528" t="n">
        <x:f>'Option Matrix'!A8</x:f>
        <x:v>6</x:v>
      </x:c>
      <x:c r="B16" s="529" t="str">
        <x:f>'Option Matrix'!B8</x:f>
        <x:v>Telegram Mini App initData</x:v>
      </x:c>
      <x:c r="C16" s="483" t="str">
        <x:f>'Option Matrix'!C8</x:f>
        <x:v>Chat/social</x:v>
      </x:c>
      <x:c r="D16" s="530" t="n">
        <x:f>'Option Matrix'!R8</x:f>
        <x:v>86.355335</x:v>
      </x:c>
      <x:c r="E16" s="483" t="str">
        <x:f>'Option Matrix'!S8</x:f>
        <x:v>6–8</x:v>
      </x:c>
      <x:c r="F16" s="529" t="str">
        <x:f>'Option Matrix'!D8</x:f>
        <x:v>ADOPT for Mini App surfaces</x:v>
      </x:c>
      <x:c r="G16" s="531" t="str">
        <x:f>'Option Matrix'!E8</x:f>
        <x:v>P0.5 / P1</x:v>
      </x:c>
      <x:c r="H16" s="483"/>
      <x:c r="I16" s="483"/>
      <x:c r="J16" s="483"/>
      <x:c r="K16" s="483"/>
      <x:c r="L16" s="483"/>
      <x:c r="M16" s="483"/>
      <x:c r="N16" s="483"/>
      <x:c r="O16" s="483"/>
      <x:c r="P16" s="483"/>
      <x:c r="Q16" s="483"/>
      <x:c r="R16" s="483"/>
      <x:c r="S16" s="483"/>
      <x:c r="T16" s="483"/>
      <x:c r="U16" s="483"/>
      <x:c r="V16" s="483"/>
      <x:c r="W16" s="483"/>
    </x:row>
    <x:row r="17">
      <x:c r="A17" s="528" t="n">
        <x:f>'Option Matrix'!A9</x:f>
        <x:v>7</x:v>
      </x:c>
      <x:c r="B17" s="529" t="str">
        <x:f>'Option Matrix'!B9</x:f>
        <x:v>Privy</x:v>
      </x:c>
      <x:c r="C17" s="483" t="str">
        <x:f>'Option Matrix'!C9</x:f>
        <x:v>Managed vendor</x:v>
      </x:c>
      <x:c r="D17" s="530" t="n">
        <x:f>'Option Matrix'!R9</x:f>
        <x:v>85.297844</x:v>
      </x:c>
      <x:c r="E17" s="483" t="str">
        <x:f>'Option Matrix'!S9</x:f>
        <x:v>1–11</x:v>
      </x:c>
      <x:c r="F17" s="529" t="str">
        <x:f>'Option Matrix'!D9</x:f>
        <x:v>BEST buy candidate if activation speed dominates</x:v>
      </x:c>
      <x:c r="G17" s="531" t="str">
        <x:f>'Option Matrix'!E9</x:f>
        <x:v>Conditional</x:v>
      </x:c>
      <x:c r="H17" s="483"/>
      <x:c r="I17" s="483"/>
      <x:c r="J17" s="483"/>
      <x:c r="K17" s="483"/>
      <x:c r="L17" s="483"/>
      <x:c r="M17" s="483"/>
      <x:c r="N17" s="483"/>
      <x:c r="O17" s="483"/>
      <x:c r="P17" s="483"/>
      <x:c r="Q17" s="483"/>
      <x:c r="R17" s="483"/>
      <x:c r="S17" s="483"/>
      <x:c r="T17" s="483"/>
      <x:c r="U17" s="483"/>
      <x:c r="V17" s="483"/>
      <x:c r="W17" s="483"/>
    </x:row>
    <x:row r="18">
      <x:c r="A18" s="528" t="n">
        <x:f>'Option Matrix'!A10</x:f>
        <x:v>8</x:v>
      </x:c>
      <x:c r="B18" s="529" t="str">
        <x:f>'Option Matrix'!B10</x:f>
        <x:v>Dynamic</x:v>
      </x:c>
      <x:c r="C18" s="483" t="str">
        <x:f>'Option Matrix'!C10</x:f>
        <x:v>Managed vendor</x:v>
      </x:c>
      <x:c r="D18" s="530" t="n">
        <x:f>'Option Matrix'!R10</x:f>
        <x:v>83.657523</x:v>
      </x:c>
      <x:c r="E18" s="483" t="str">
        <x:f>'Option Matrix'!S10</x:f>
        <x:v>2–14</x:v>
      </x:c>
      <x:c r="F18" s="529" t="str">
        <x:f>'Option Matrix'!D10</x:f>
        <x:v>TRANSITION benchmark — do not deepen SoR dependency</x:v>
      </x:c>
      <x:c r="G18" s="531" t="str">
        <x:f>'Option Matrix'!E10</x:f>
        <x:v>Current / migration</x:v>
      </x:c>
      <x:c r="H18" s="483"/>
      <x:c r="I18" s="483"/>
      <x:c r="J18" s="483"/>
      <x:c r="K18" s="483"/>
      <x:c r="L18" s="483"/>
      <x:c r="M18" s="483"/>
      <x:c r="N18" s="483"/>
      <x:c r="O18" s="483"/>
      <x:c r="P18" s="483"/>
      <x:c r="Q18" s="483"/>
      <x:c r="R18" s="483"/>
      <x:c r="S18" s="483"/>
      <x:c r="T18" s="483"/>
      <x:c r="U18" s="483"/>
      <x:c r="V18" s="483"/>
      <x:c r="W18" s="483"/>
    </x:row>
    <x:row r="19">
      <x:c r="A19" s="528" t="n">
        <x:f>'Option Matrix'!A11</x:f>
        <x:v>9</x:v>
      </x:c>
      <x:c r="B19" s="529" t="str">
        <x:f>'Option Matrix'!B11</x:f>
        <x:v>Reown SIWX + One-Click Auth</x:v>
      </x:c>
      <x:c r="C19" s="483" t="str">
        <x:f>'Option Matrix'!C11</x:f>
        <x:v>Wallet UX</x:v>
      </x:c>
      <x:c r="D19" s="530" t="n">
        <x:f>'Option Matrix'!R11</x:f>
        <x:v>83.546733</x:v>
      </x:c>
      <x:c r="E19" s="483" t="str">
        <x:f>'Option Matrix'!S11</x:f>
        <x:v>8–9</x:v>
      </x:c>
      <x:c r="F19" s="529" t="str">
        <x:f>'Option Matrix'!D11</x:f>
        <x:v>ADOPT — preferred wallet transport</x:v>
      </x:c>
      <x:c r="G19" s="531" t="str">
        <x:f>'Option Matrix'!E11</x:f>
        <x:v>P0</x:v>
      </x:c>
      <x:c r="H19" s="483"/>
      <x:c r="I19" s="483"/>
      <x:c r="J19" s="483"/>
      <x:c r="K19" s="483"/>
      <x:c r="L19" s="483"/>
      <x:c r="M19" s="483"/>
      <x:c r="N19" s="483"/>
      <x:c r="O19" s="483"/>
      <x:c r="P19" s="483"/>
      <x:c r="Q19" s="483"/>
      <x:c r="R19" s="483"/>
      <x:c r="S19" s="483"/>
      <x:c r="T19" s="483"/>
      <x:c r="U19" s="483"/>
      <x:c r="V19" s="483"/>
      <x:c r="W19" s="483"/>
    </x:row>
    <x:row r="20">
      <x:c r="A20" s="532" t="n">
        <x:f>'Option Matrix'!A12</x:f>
        <x:v>10</x:v>
      </x:c>
      <x:c r="B20" s="533" t="str">
        <x:f>'Option Matrix'!B12</x:f>
        <x:v>Better Auth as credential-adapter plane</x:v>
      </x:c>
      <x:c r="C20" s="534" t="str">
        <x:f>'Option Matrix'!C12</x:f>
        <x:v>Foundation</x:v>
      </x:c>
      <x:c r="D20" s="535" t="n">
        <x:f>'Option Matrix'!R12</x:f>
        <x:v>83.403104</x:v>
      </x:c>
      <x:c r="E20" s="534" t="str">
        <x:f>'Option Matrix'!S12</x:f>
        <x:v>6–12</x:v>
      </x:c>
      <x:c r="F20" s="533" t="str">
        <x:f>'Option Matrix'!D12</x:f>
        <x:v>ADOPT narrowly — never SoR/issuer</x:v>
      </x:c>
      <x:c r="G20" s="536" t="str">
        <x:f>'Option Matrix'!E12</x:f>
        <x:v>P1</x:v>
      </x:c>
      <x:c r="H20" s="483"/>
      <x:c r="I20" s="483"/>
      <x:c r="J20" s="483"/>
      <x:c r="K20" s="483"/>
      <x:c r="L20" s="483"/>
      <x:c r="M20" s="483"/>
      <x:c r="N20" s="483"/>
      <x:c r="O20" s="483"/>
      <x:c r="P20" s="483"/>
      <x:c r="Q20" s="483"/>
      <x:c r="R20" s="483"/>
      <x:c r="S20" s="483"/>
      <x:c r="T20" s="483"/>
      <x:c r="U20" s="483"/>
      <x:c r="V20" s="483"/>
      <x:c r="W20" s="483"/>
    </x:row>
    <x:row r="21">
      <x:c r="A21" s="483"/>
      <x:c r="B21" s="483"/>
      <x:c r="C21" s="483"/>
      <x:c r="D21" s="483"/>
      <x:c r="E21" s="483"/>
      <x:c r="F21" s="483"/>
      <x:c r="G21" s="483"/>
      <x:c r="H21" s="483"/>
      <x:c r="I21" s="483"/>
      <x:c r="J21" s="483"/>
      <x:c r="K21" s="483"/>
      <x:c r="L21" s="483"/>
      <x:c r="M21" s="483"/>
      <x:c r="N21" s="483"/>
      <x:c r="O21" s="483"/>
      <x:c r="P21" s="483"/>
      <x:c r="Q21" s="483"/>
      <x:c r="R21" s="483"/>
      <x:c r="S21" s="483"/>
      <x:c r="T21" s="483"/>
      <x:c r="U21" s="483"/>
      <x:c r="V21" s="483"/>
      <x:c r="W21" s="483"/>
    </x:row>
    <x:row r="22">
      <x:c r="A22" s="483"/>
      <x:c r="B22" s="483"/>
      <x:c r="C22" s="483"/>
      <x:c r="D22" s="483"/>
      <x:c r="E22" s="483"/>
      <x:c r="F22" s="483"/>
      <x:c r="G22" s="483"/>
      <x:c r="H22" s="483"/>
      <x:c r="I22" s="483"/>
      <x:c r="J22" s="483"/>
      <x:c r="K22" s="483"/>
      <x:c r="L22" s="483"/>
      <x:c r="M22" s="483"/>
      <x:c r="N22" s="483"/>
      <x:c r="O22" s="483"/>
      <x:c r="P22" s="483"/>
      <x:c r="Q22" s="483"/>
      <x:c r="R22" s="483"/>
      <x:c r="S22" s="483"/>
      <x:c r="T22" s="483"/>
      <x:c r="U22" s="483"/>
      <x:c r="V22" s="483"/>
      <x:c r="W22" s="483"/>
    </x:row>
    <x:row r="23">
      <x:c r="A23" s="519" t="str">
        <x:v>Decision in one sentence</x:v>
      </x:c>
      <x:c r="B23" s="519"/>
      <x:c r="C23" s="519"/>
      <x:c r="D23" s="519"/>
      <x:c r="E23" s="519"/>
      <x:c r="F23" s="519"/>
      <x:c r="G23" s="519"/>
      <x:c r="H23" s="519"/>
      <x:c r="I23" s="519"/>
      <x:c r="J23" s="519"/>
      <x:c r="K23" s="519"/>
      <x:c r="L23" s="519"/>
      <x:c r="M23" s="519"/>
      <x:c r="N23" s="519"/>
      <x:c r="O23" s="519"/>
      <x:c r="P23" s="483"/>
      <x:c r="Q23" s="483"/>
      <x:c r="R23" s="483"/>
      <x:c r="S23" s="483"/>
      <x:c r="T23" s="483"/>
      <x:c r="U23" s="483"/>
      <x:c r="V23" s="483"/>
      <x:c r="W23" s="483"/>
    </x:row>
    <x:row r="24">
      <x:c r="A24" s="537" t="str">
        <x:v>Build a provider-neutral credential broker and durable session in identity-api; ship Telegram OIDC, Discord OAuth, and guarded bot-link codes first; use Reown SIWX/One-Click as the preferred wallet transport with SIWE fallback; add passkeys after the first verified credential; treat managed wallet/auth vendors as replaceable accelerators rather than identity authorities.</x:v>
      </x:c>
      <x:c r="B24" s="538"/>
      <x:c r="C24" s="538"/>
      <x:c r="D24" s="538"/>
      <x:c r="E24" s="538"/>
      <x:c r="F24" s="538"/>
      <x:c r="G24" s="538"/>
      <x:c r="H24" s="538"/>
      <x:c r="I24" s="538"/>
      <x:c r="J24" s="538"/>
      <x:c r="K24" s="538"/>
      <x:c r="L24" s="538"/>
      <x:c r="M24" s="538"/>
      <x:c r="N24" s="538"/>
      <x:c r="O24" s="539"/>
      <x:c r="P24" s="483"/>
      <x:c r="Q24" s="483"/>
      <x:c r="R24" s="483"/>
      <x:c r="S24" s="483"/>
      <x:c r="T24" s="483"/>
      <x:c r="U24" s="483"/>
      <x:c r="V24" s="483"/>
      <x:c r="W24" s="483"/>
    </x:row>
    <x:row r="25">
      <x:c r="A25" s="540"/>
      <x:c r="B25" s="541"/>
      <x:c r="C25" s="541"/>
      <x:c r="D25" s="541"/>
      <x:c r="E25" s="541"/>
      <x:c r="F25" s="541"/>
      <x:c r="G25" s="541"/>
      <x:c r="H25" s="541"/>
      <x:c r="I25" s="541"/>
      <x:c r="J25" s="541"/>
      <x:c r="K25" s="541"/>
      <x:c r="L25" s="541"/>
      <x:c r="M25" s="541"/>
      <x:c r="N25" s="541"/>
      <x:c r="O25" s="542"/>
      <x:c r="P25" s="483"/>
      <x:c r="Q25" s="483"/>
      <x:c r="R25" s="483"/>
      <x:c r="S25" s="483"/>
      <x:c r="T25" s="483"/>
      <x:c r="U25" s="483"/>
      <x:c r="V25" s="483"/>
      <x:c r="W25" s="483"/>
    </x:row>
    <x:row r="26">
      <x:c r="A26" s="543"/>
      <x:c r="B26" s="544"/>
      <x:c r="C26" s="544"/>
      <x:c r="D26" s="544"/>
      <x:c r="E26" s="544"/>
      <x:c r="F26" s="544"/>
      <x:c r="G26" s="544"/>
      <x:c r="H26" s="544"/>
      <x:c r="I26" s="544"/>
      <x:c r="J26" s="544"/>
      <x:c r="K26" s="544"/>
      <x:c r="L26" s="544"/>
      <x:c r="M26" s="544"/>
      <x:c r="N26" s="544"/>
      <x:c r="O26" s="545"/>
      <x:c r="P26" s="483"/>
      <x:c r="Q26" s="483"/>
      <x:c r="R26" s="483"/>
      <x:c r="S26" s="483"/>
      <x:c r="T26" s="483"/>
      <x:c r="U26" s="483"/>
      <x:c r="V26" s="483"/>
      <x:c r="W26" s="483"/>
    </x:row>
    <x:row r="27">
      <x:c r="A27" s="483"/>
      <x:c r="B27" s="483"/>
      <x:c r="C27" s="483"/>
      <x:c r="D27" s="483"/>
      <x:c r="E27" s="483"/>
      <x:c r="F27" s="483"/>
      <x:c r="G27" s="483"/>
      <x:c r="H27" s="483"/>
      <x:c r="I27" s="483"/>
      <x:c r="J27" s="483"/>
      <x:c r="K27" s="483"/>
      <x:c r="L27" s="483"/>
      <x:c r="M27" s="483"/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>
      <x:c r="A28" s="519" t="str">
        <x:v>Non-negotiable security and architecture invariants</x:v>
      </x:c>
      <x:c r="B28" s="519"/>
      <x:c r="C28" s="519"/>
      <x:c r="D28" s="519"/>
      <x:c r="E28" s="519"/>
      <x:c r="F28" s="519"/>
      <x:c r="G28" s="519"/>
      <x:c r="H28" s="519"/>
      <x:c r="I28" s="519"/>
      <x:c r="J28" s="519"/>
      <x:c r="K28" s="519"/>
      <x:c r="L28" s="519"/>
      <x:c r="M28" s="519"/>
      <x:c r="N28" s="519"/>
      <x:c r="O28" s="519"/>
      <x:c r="P28" s="483"/>
      <x:c r="Q28" s="483"/>
      <x:c r="R28" s="483"/>
      <x:c r="S28" s="483"/>
      <x:c r="T28" s="483"/>
      <x:c r="U28" s="483"/>
      <x:c r="V28" s="483"/>
      <x:c r="W28" s="483"/>
    </x:row>
    <x:row r="29" ht="42" customHeight="1">
      <x:c r="A29" s="546" t="str">
        <x:v>1</x:v>
      </x:c>
      <x:c r="B29" s="547" t="str">
        <x:v>Key every external credential by immutable provider + issuer + subject; never auto-merge by username, display name, wallet label, or email.</x:v>
      </x:c>
      <x:c r="C29" s="483"/>
      <x:c r="D29" s="483"/>
      <x:c r="E29" s="483"/>
      <x:c r="F29" s="483"/>
      <x:c r="G29" s="483"/>
      <x:c r="H29" s="483"/>
      <x:c r="I29" s="483"/>
      <x:c r="J29" s="483"/>
      <x:c r="K29" s="483"/>
      <x:c r="L29" s="483"/>
      <x:c r="M29" s="483"/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 ht="42" customHeight="1">
      <x:c r="A30" s="548" t="str">
        <x:v>2</x:v>
      </x:c>
      <x:c r="B30" s="549" t="str">
        <x:v>The identity-api user who starts a link must be the user who completes it; PKCE is necessary but not sufficient for that binding.</x:v>
      </x:c>
      <x:c r="C30" s="483"/>
      <x:c r="D30" s="483"/>
      <x:c r="E30" s="483"/>
      <x:c r="F30" s="483"/>
      <x:c r="G30" s="483"/>
      <x:c r="H30" s="483"/>
      <x:c r="I30" s="483"/>
      <x:c r="J30" s="483"/>
      <x:c r="K30" s="483"/>
      <x:c r="L30" s="483"/>
      <x:c r="M30" s="483"/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 ht="42" customHeight="1">
      <x:c r="A31" s="548" t="str">
        <x:v>3</x:v>
      </x:c>
      <x:c r="B31" s="549" t="str">
        <x:v>Deep-link/QR/bot codes are unique, very short-lived, single-use, context-bound, visibly confirmed, and rate-limited.</x:v>
      </x:c>
      <x:c r="C31" s="483"/>
      <x:c r="D31" s="483"/>
      <x:c r="E31" s="483"/>
      <x:c r="F31" s="483"/>
      <x:c r="G31" s="483"/>
      <x:c r="H31" s="483"/>
      <x:c r="I31" s="483"/>
      <x:c r="J31" s="483"/>
      <x:c r="K31" s="483"/>
      <x:c r="L31" s="483"/>
      <x:c r="M31" s="483"/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 ht="42" customHeight="1">
      <x:c r="A32" s="548" t="str">
        <x:v>4</x:v>
      </x:c>
      <x:c r="B32" s="549" t="str">
        <x:v>Wallet transport never owns the canonical user or session; one-click support is capability-detected with a safe fallback.</x:v>
      </x:c>
      <x:c r="C32" s="483"/>
      <x:c r="D32" s="483"/>
      <x:c r="E32" s="483"/>
      <x:c r="F32" s="483"/>
      <x:c r="G32" s="483"/>
      <x:c r="H32" s="483"/>
      <x:c r="I32" s="483"/>
      <x:c r="J32" s="483"/>
      <x:c r="K32" s="483"/>
      <x:c r="L32" s="483"/>
      <x:c r="M32" s="483"/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 ht="42" customHeight="1">
      <x:c r="A33" s="548" t="str">
        <x:v>5</x:v>
      </x:c>
      <x:c r="B33" s="549" t="str">
        <x:v>Use chain-neutral account identifiers and versioned proof records so an EVM-first implementation does not become an EVM-only identity model.</x:v>
      </x:c>
      <x:c r="C33" s="483"/>
      <x:c r="D33" s="483"/>
      <x:c r="E33" s="483"/>
      <x:c r="F33" s="483"/>
      <x:c r="G33" s="483"/>
      <x:c r="H33" s="483"/>
      <x:c r="I33" s="483"/>
      <x:c r="J33" s="483"/>
      <x:c r="K33" s="483"/>
      <x:c r="L33" s="483"/>
      <x:c r="M33" s="483"/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 ht="42" customHeight="1">
      <x:c r="A34" s="550" t="str">
        <x:v>6</x:v>
      </x:c>
      <x:c r="B34" s="551" t="str">
        <x:v>Collision, transfer, revocation, and unlink are explicit state transitions with provenance and audit events—not silent data repairs.</x:v>
      </x:c>
      <x:c r="C34" s="483"/>
      <x:c r="D34" s="483"/>
      <x:c r="E34" s="483"/>
      <x:c r="F34" s="483"/>
      <x:c r="G34" s="483"/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>
      <x:c r="A35" s="483"/>
      <x:c r="B35" s="483"/>
      <x:c r="C35" s="483"/>
      <x:c r="D35" s="483"/>
      <x:c r="E35" s="483"/>
      <x:c r="F35" s="483"/>
      <x:c r="G35" s="483"/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>
      <x:c r="A36" s="483"/>
      <x:c r="B36" s="483"/>
      <x:c r="C36" s="483"/>
      <x:c r="D36" s="483"/>
      <x:c r="E36" s="483"/>
      <x:c r="F36" s="483"/>
      <x:c r="G36" s="483"/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>
      <x:c r="A37" s="483"/>
      <x:c r="B37" s="483"/>
      <x:c r="C37" s="483"/>
      <x:c r="D37" s="483"/>
      <x:c r="E37" s="483"/>
      <x:c r="F37" s="483"/>
      <x:c r="G37" s="483"/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>
      <x:c r="A38" s="483"/>
      <x:c r="B38" s="483"/>
      <x:c r="C38" s="483"/>
      <x:c r="D38" s="483"/>
      <x:c r="E38" s="483"/>
      <x:c r="F38" s="483"/>
      <x:c r="G38" s="483"/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>
      <x:c r="A39" s="483"/>
      <x:c r="B39" s="483"/>
      <x:c r="C39" s="483"/>
      <x:c r="D39" s="483"/>
      <x:c r="E39" s="483"/>
      <x:c r="F39" s="483"/>
      <x:c r="G39" s="483"/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>
      <x:c r="A40" s="483"/>
      <x:c r="B40" s="483"/>
      <x:c r="C40" s="483"/>
      <x:c r="D40" s="483"/>
      <x:c r="E40" s="483"/>
      <x:c r="F40" s="483"/>
      <x:c r="G40" s="483"/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>
      <x:c r="A41" s="483"/>
      <x:c r="B41" s="483"/>
      <x:c r="C41" s="483"/>
      <x:c r="D41" s="483"/>
      <x:c r="E41" s="483"/>
      <x:c r="F41" s="483"/>
      <x:c r="G41" s="483"/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>
      <x:c r="A42" s="483"/>
      <x:c r="B42" s="483"/>
      <x:c r="C42" s="483"/>
      <x:c r="D42" s="483"/>
      <x:c r="E42" s="483"/>
      <x:c r="F42" s="483"/>
      <x:c r="G42" s="483"/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G9"/>
    <x:mergeCell ref="A23:O23"/>
    <x:mergeCell ref="A24:O26"/>
    <x:mergeCell ref="A28:O28"/>
  </x:mergeCells>
  <x:conditionalFormatting sqref="D11:D20">
    <x:cfRule type="dataBar" priority="1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{CE9F357E-FCC1-3751-A6B2-C6CA6A8C6E73}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fd40166351c4e1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9F357E-FCC1-3751-A6B2-C6CA6A8C6E73}">
            <x14:dataBar gradient="1">
              <x14:cfvo type="min"/>
              <x14:cfvo type="max"/>
              <x14:fillColor rgb="FF1D4ED8"/>
            </x14:dataBar>
          </x14:cfRule>
          <xm:sqref>D11:D20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7" max="17" width="24" hidden="0" customWidth="1"/>
    <x:col min="18" max="18" width="48" hidden="0" customWidth="1"/>
    <x:col min="19" max="19" width="18" hidden="0" customWidth="1"/>
  </x:cols>
  <x:sheetData>
    <x:row r="1">
      <x:c r="A1" s="481" t="str">
        <x:v>Saaty AHP criteria pairwise comparison and consistency test</x:v>
      </x:c>
      <x:c r="B1" s="481"/>
      <x:c r="C1" s="481"/>
      <x:c r="D1" s="481"/>
      <x:c r="E1" s="481"/>
      <x:c r="F1" s="481"/>
      <x:c r="G1" s="481"/>
      <x:c r="H1" s="481"/>
      <x:c r="I1" s="481"/>
      <x:c r="J1" s="481"/>
      <x:c r="K1" s="481"/>
      <x:c r="L1" s="481"/>
      <x:c r="M1" s="481"/>
      <x:c r="N1" s="481"/>
      <x:c r="O1" s="481"/>
      <x:c r="P1" s="483"/>
      <x:c r="Q1" s="483"/>
      <x:c r="R1" s="483"/>
      <x:c r="S1" s="483"/>
      <x:c r="T1" s="483"/>
      <x:c r="U1" s="483"/>
      <x:c r="V1" s="483"/>
      <x:c r="W1" s="483"/>
    </x:row>
    <x:row r="2">
      <x:c r="A2" s="520" t="str">
        <x:v>Criterion</x:v>
      </x:c>
      <x:c r="B2" s="521" t="str">
        <x:v>Near-term channels</x:v>
      </x:c>
      <x:c r="C2" s="521" t="str">
        <x:v>Architecture fit</x:v>
      </x:c>
      <x:c r="D2" s="521" t="str">
        <x:v>Chain agnostic</x:v>
      </x:c>
      <x:c r="E2" s="521" t="str">
        <x:v>Friction</x:v>
      </x:c>
      <x:c r="F2" s="521" t="str">
        <x:v>Security</x:v>
      </x:c>
      <x:c r="G2" s="521" t="str">
        <x:v>Maturity</x:v>
      </x:c>
      <x:c r="H2" s="521" t="str">
        <x:v>Time to prod</x:v>
      </x:c>
      <x:c r="I2" s="521" t="str">
        <x:v>Sovereignty</x:v>
      </x:c>
      <x:c r="J2" s="521" t="str">
        <x:v>Session continuity</x:v>
      </x:c>
      <x:c r="K2" s="521" t="str">
        <x:v>Ops / TCO</x:v>
      </x:c>
      <x:c r="L2" s="521" t="str">
        <x:v>Geometric mean</x:v>
      </x:c>
      <x:c r="M2" s="521" t="str">
        <x:v>Weight</x:v>
      </x:c>
      <x:c r="N2" s="521" t="str">
        <x:v>A×w</x:v>
      </x:c>
      <x:c r="O2" s="522" t="str">
        <x:v>(A×w)/w</x:v>
      </x:c>
      <x:c r="P2" s="483"/>
      <x:c r="Q2" s="520" t="str">
        <x:v>Rating</x:v>
      </x:c>
      <x:c r="R2" s="521" t="str">
        <x:v>Anchor</x:v>
      </x:c>
      <x:c r="S2" s="522" t="str">
        <x:v>Meaning</x:v>
      </x:c>
      <x:c r="T2" s="483"/>
      <x:c r="U2" s="483"/>
      <x:c r="V2" s="483"/>
      <x:c r="W2" s="483"/>
    </x:row>
    <x:row r="3">
      <x:c r="A3" s="715" t="str">
        <x:v>Near-term channel fit</x:v>
      </x:c>
      <x:c r="B3" s="716" t="n">
        <x:v>1</x:v>
      </x:c>
      <x:c r="C3" s="716" t="n">
        <x:v>1</x:v>
      </x:c>
      <x:c r="D3" s="716" t="n">
        <x:v>1</x:v>
      </x:c>
      <x:c r="E3" s="716" t="n">
        <x:v>1</x:v>
      </x:c>
      <x:c r="F3" s="716" t="n">
        <x:v>1</x:v>
      </x:c>
      <x:c r="G3" s="716" t="n">
        <x:v>3</x:v>
      </x:c>
      <x:c r="H3" s="716" t="n">
        <x:v>3</x:v>
      </x:c>
      <x:c r="I3" s="716" t="n">
        <x:v>3</x:v>
      </x:c>
      <x:c r="J3" s="716" t="n">
        <x:v>3</x:v>
      </x:c>
      <x:c r="K3" s="716" t="n">
        <x:v>5</x:v>
      </x:c>
      <x:c r="L3" s="717" t="n">
        <x:f>PRODUCT(B3:K3)^(1/10)</x:f>
        <x:v>1.8228272078682801</x:v>
      </x:c>
      <x:c r="M3" s="718" t="n">
        <x:f>L3/SUM($L$3:$L$12)</x:f>
        <x:v>0.16242022539973072</x:v>
      </x:c>
      <x:c r="N3" s="717" t="n">
        <x:f>B3*$M$3+C3*$M$4+D3*$M$5+E3*$M$6+F3*$M$7+G3*$M$8+H3*$M$9+I3*$M$10+J3*$M$11+K3*$M$12</x:f>
        <x:v>1.6421237068909</x:v>
      </x:c>
      <x:c r="O3" s="719" t="n">
        <x:f>N3/M3</x:f>
        <x:v>10.110340032157243</x:v>
      </x:c>
      <x:c r="P3" s="483"/>
      <x:c r="Q3" s="523" t="n">
        <x:v>9</x:v>
      </x:c>
      <x:c r="R3" s="525" t="str">
        <x:v>Exceptional</x:v>
      </x:c>
      <x:c r="S3" s="527" t="str">
        <x:v>Direct fit, robust, and unusually strong for this system.</x:v>
      </x:c>
      <x:c r="T3" s="483"/>
      <x:c r="U3" s="483"/>
      <x:c r="V3" s="483"/>
      <x:c r="W3" s="483"/>
    </x:row>
    <x:row r="4">
      <x:c r="A4" s="720" t="str">
        <x:v>identity-api architecture fit</x:v>
      </x:c>
      <x:c r="B4" s="721" t="n">
        <x:v>1</x:v>
      </x:c>
      <x:c r="C4" s="721" t="n">
        <x:v>1</x:v>
      </x:c>
      <x:c r="D4" s="721" t="n">
        <x:v>1</x:v>
      </x:c>
      <x:c r="E4" s="721" t="n">
        <x:v>1</x:v>
      </x:c>
      <x:c r="F4" s="721" t="n">
        <x:v>1</x:v>
      </x:c>
      <x:c r="G4" s="721" t="n">
        <x:v>3</x:v>
      </x:c>
      <x:c r="H4" s="721" t="n">
        <x:v>3</x:v>
      </x:c>
      <x:c r="I4" s="721" t="n">
        <x:v>3</x:v>
      </x:c>
      <x:c r="J4" s="721" t="n">
        <x:v>3</x:v>
      </x:c>
      <x:c r="K4" s="721" t="n">
        <x:v>4</x:v>
      </x:c>
      <x:c r="L4" s="722" t="n">
        <x:f>PRODUCT(B4:K4)^(1/10)</x:f>
        <x:v>1.7826024579660034</x:v>
      </x:c>
      <x:c r="M4" s="723" t="n">
        <x:f>L4/SUM($L$3:$L$12)</x:f>
        <x:v>0.15883606069252512</x:v>
      </x:c>
      <x:c r="N4" s="722" t="n">
        <x:f>B4*$M$3+C4*$M$4+D4*$M$5+E4*$M$6+F4*$M$7+G4*$M$8+H4*$M$9+I4*$M$10+J4*$M$11+K4*$M$12</x:f>
        <x:v>1.6061286195021314</x:v>
      </x:c>
      <x:c r="O4" s="724" t="n">
        <x:f>N4/M4</x:f>
        <x:v>10.11186384564948</x:v>
      </x:c>
      <x:c r="P4" s="483"/>
      <x:c r="Q4" s="528" t="n">
        <x:v>7</x:v>
      </x:c>
      <x:c r="R4" s="483" t="str">
        <x:v>Strong</x:v>
      </x:c>
      <x:c r="S4" s="531" t="str">
        <x:v>Good fit with manageable limitations.</x:v>
      </x:c>
      <x:c r="T4" s="483"/>
      <x:c r="U4" s="483"/>
      <x:c r="V4" s="483"/>
      <x:c r="W4" s="483"/>
    </x:row>
    <x:row r="5">
      <x:c r="A5" s="720" t="str">
        <x:v>Chain/platform agnosticism</x:v>
      </x:c>
      <x:c r="B5" s="721" t="n">
        <x:v>1</x:v>
      </x:c>
      <x:c r="C5" s="721" t="n">
        <x:v>1</x:v>
      </x:c>
      <x:c r="D5" s="721" t="n">
        <x:v>1</x:v>
      </x:c>
      <x:c r="E5" s="721" t="n">
        <x:v>1</x:v>
      </x:c>
      <x:c r="F5" s="721" t="n">
        <x:v>1</x:v>
      </x:c>
      <x:c r="G5" s="721" t="n">
        <x:v>2</x:v>
      </x:c>
      <x:c r="H5" s="721" t="n">
        <x:v>2</x:v>
      </x:c>
      <x:c r="I5" s="721" t="n">
        <x:v>2</x:v>
      </x:c>
      <x:c r="J5" s="721" t="n">
        <x:v>2</x:v>
      </x:c>
      <x:c r="K5" s="721" t="n">
        <x:v>3</x:v>
      </x:c>
      <x:c r="L5" s="722" t="n">
        <x:f>PRODUCT(B5:K5)^(1/10)</x:f>
        <x:v>1.4727333575346888</x:v>
      </x:c>
      <x:c r="M5" s="723" t="n">
        <x:f>L5/SUM($L$3:$L$12)</x:f>
        <x:v>0.13122564928368757</x:v>
      </x:c>
      <x:c r="N5" s="722" t="n">
        <x:f>B5*$M$3+C5*$M$4+D5*$M$5+E5*$M$6+F5*$M$7+G5*$M$8+H5*$M$9+I5*$M$10+J5*$M$11+K5*$M$12</x:f>
        <x:v>1.32106185344545</x:v>
      </x:c>
      <x:c r="O5" s="724" t="n">
        <x:f>N5/M5</x:f>
        <x:v>10.067100910962449</x:v>
      </x:c>
      <x:c r="P5" s="483"/>
      <x:c r="Q5" s="528" t="n">
        <x:v>5</x:v>
      </x:c>
      <x:c r="R5" s="483" t="str">
        <x:v>Adequate / conditional</x:v>
      </x:c>
      <x:c r="S5" s="531" t="str">
        <x:v>Useful in some contexts; meaningful limitations.</x:v>
      </x:c>
      <x:c r="T5" s="483"/>
      <x:c r="U5" s="483"/>
      <x:c r="V5" s="483"/>
      <x:c r="W5" s="483"/>
    </x:row>
    <x:row r="6">
      <x:c r="A6" s="720" t="str">
        <x:v>User friction reduction</x:v>
      </x:c>
      <x:c r="B6" s="721" t="n">
        <x:v>1</x:v>
      </x:c>
      <x:c r="C6" s="721" t="n">
        <x:v>1</x:v>
      </x:c>
      <x:c r="D6" s="721" t="n">
        <x:v>1</x:v>
      </x:c>
      <x:c r="E6" s="721" t="n">
        <x:v>1</x:v>
      </x:c>
      <x:c r="F6" s="721" t="n">
        <x:v>1</x:v>
      </x:c>
      <x:c r="G6" s="721" t="n">
        <x:v>2</x:v>
      </x:c>
      <x:c r="H6" s="721" t="n">
        <x:v>2</x:v>
      </x:c>
      <x:c r="I6" s="721" t="n">
        <x:v>2</x:v>
      </x:c>
      <x:c r="J6" s="721" t="n">
        <x:v>2</x:v>
      </x:c>
      <x:c r="K6" s="721" t="n">
        <x:v>3</x:v>
      </x:c>
      <x:c r="L6" s="722" t="n">
        <x:f>PRODUCT(B6:K6)^(1/10)</x:f>
        <x:v>1.4727333575346888</x:v>
      </x:c>
      <x:c r="M6" s="723" t="n">
        <x:f>L6/SUM($L$3:$L$12)</x:f>
        <x:v>0.13122564928368757</x:v>
      </x:c>
      <x:c r="N6" s="722" t="n">
        <x:f>B6*$M$3+C6*$M$4+D6*$M$5+E6*$M$6+F6*$M$7+G6*$M$8+H6*$M$9+I6*$M$10+J6*$M$11+K6*$M$12</x:f>
        <x:v>1.32106185344545</x:v>
      </x:c>
      <x:c r="O6" s="724" t="n">
        <x:f>N6/M6</x:f>
        <x:v>10.067100910962449</x:v>
      </x:c>
      <x:c r="P6" s="483"/>
      <x:c r="Q6" s="528" t="n">
        <x:v>3</x:v>
      </x:c>
      <x:c r="R6" s="483" t="str">
        <x:v>Weak / immature</x:v>
      </x:c>
      <x:c r="S6" s="531" t="str">
        <x:v>Substantial mismatch, immaturity, or operating burden.</x:v>
      </x:c>
      <x:c r="T6" s="483"/>
      <x:c r="U6" s="483"/>
      <x:c r="V6" s="483"/>
      <x:c r="W6" s="483"/>
    </x:row>
    <x:row r="7">
      <x:c r="A7" s="720" t="str">
        <x:v>Security/linking assurance</x:v>
      </x:c>
      <x:c r="B7" s="721" t="n">
        <x:v>1</x:v>
      </x:c>
      <x:c r="C7" s="721" t="n">
        <x:v>1</x:v>
      </x:c>
      <x:c r="D7" s="721" t="n">
        <x:v>1</x:v>
      </x:c>
      <x:c r="E7" s="721" t="n">
        <x:v>1</x:v>
      </x:c>
      <x:c r="F7" s="721" t="n">
        <x:v>1</x:v>
      </x:c>
      <x:c r="G7" s="721" t="n">
        <x:v>2</x:v>
      </x:c>
      <x:c r="H7" s="721" t="n">
        <x:v>2</x:v>
      </x:c>
      <x:c r="I7" s="721" t="n">
        <x:v>2</x:v>
      </x:c>
      <x:c r="J7" s="721" t="n">
        <x:v>2</x:v>
      </x:c>
      <x:c r="K7" s="721" t="n">
        <x:v>3</x:v>
      </x:c>
      <x:c r="L7" s="722" t="n">
        <x:f>PRODUCT(B7:K7)^(1/10)</x:f>
        <x:v>1.4727333575346888</x:v>
      </x:c>
      <x:c r="M7" s="723" t="n">
        <x:f>L7/SUM($L$3:$L$12)</x:f>
        <x:v>0.13122564928368757</x:v>
      </x:c>
      <x:c r="N7" s="722" t="n">
        <x:f>B7*$M$3+C7*$M$4+D7*$M$5+E7*$M$6+F7*$M$7+G7*$M$8+H7*$M$9+I7*$M$10+J7*$M$11+K7*$M$12</x:f>
        <x:v>1.32106185344545</x:v>
      </x:c>
      <x:c r="O7" s="724" t="n">
        <x:f>N7/M7</x:f>
        <x:v>10.067100910962449</x:v>
      </x:c>
      <x:c r="P7" s="483"/>
      <x:c r="Q7" s="532" t="n">
        <x:v>1</x:v>
      </x:c>
      <x:c r="R7" s="534" t="str">
        <x:v>Adverse</x:v>
      </x:c>
      <x:c r="S7" s="536" t="str">
        <x:v>Actively conflicts with the target or adds unacceptable risk.</x:v>
      </x:c>
      <x:c r="T7" s="483"/>
      <x:c r="U7" s="483"/>
      <x:c r="V7" s="483"/>
      <x:c r="W7" s="483"/>
    </x:row>
    <x:row r="8">
      <x:c r="A8" s="720" t="str">
        <x:v>Maturity/interoperability</x:v>
      </x:c>
      <x:c r="B8" s="721" t="n">
        <x:v>0.3333333333333333</x:v>
      </x:c>
      <x:c r="C8" s="721" t="n">
        <x:v>0.3333333333333333</x:v>
      </x:c>
      <x:c r="D8" s="721" t="n">
        <x:v>0.5</x:v>
      </x:c>
      <x:c r="E8" s="721" t="n">
        <x:v>0.5</x:v>
      </x:c>
      <x:c r="F8" s="721" t="n">
        <x:v>0.5</x:v>
      </x:c>
      <x:c r="G8" s="721" t="n">
        <x:v>1</x:v>
      </x:c>
      <x:c r="H8" s="721" t="n">
        <x:v>1</x:v>
      </x:c>
      <x:c r="I8" s="721" t="n">
        <x:v>1</x:v>
      </x:c>
      <x:c r="J8" s="721" t="n">
        <x:v>1</x:v>
      </x:c>
      <x:c r="K8" s="721" t="n">
        <x:v>2</x:v>
      </x:c>
      <x:c r="L8" s="722" t="n">
        <x:f>PRODUCT(B8:K8)^(1/10)</x:f>
        <x:v>0.6988271187715792</x:v>
      </x:c>
      <x:c r="M8" s="723" t="n">
        <x:f>L8/SUM($L$3:$L$12)</x:f>
        <x:v>0.06226791966697823</x:v>
      </x:c>
      <x:c r="N8" s="722" t="n">
        <x:f>B8*$M$3+C8*$M$4+D8*$M$5+E8*$M$6+F8*$M$7+G8*$M$8+H8*$M$9+I8*$M$10+J8*$M$11+K8*$M$12</x:f>
        <x:v>0.6249857560684</x:v>
      </x:c>
      <x:c r="O8" s="724" t="n">
        <x:f>N8/M8</x:f>
        <x:v>10.037042499748726</x:v>
      </x:c>
      <x:c r="P8" s="483"/>
      <x:c r="Q8" s="483"/>
      <x:c r="R8" s="483"/>
      <x:c r="S8" s="483"/>
      <x:c r="T8" s="483"/>
      <x:c r="U8" s="483"/>
      <x:c r="V8" s="483"/>
      <x:c r="W8" s="483"/>
    </x:row>
    <x:row r="9">
      <x:c r="A9" s="720" t="str">
        <x:v>Time to production</x:v>
      </x:c>
      <x:c r="B9" s="721" t="n">
        <x:v>0.3333333333333333</x:v>
      </x:c>
      <x:c r="C9" s="721" t="n">
        <x:v>0.3333333333333333</x:v>
      </x:c>
      <x:c r="D9" s="721" t="n">
        <x:v>0.5</x:v>
      </x:c>
      <x:c r="E9" s="721" t="n">
        <x:v>0.5</x:v>
      </x:c>
      <x:c r="F9" s="721" t="n">
        <x:v>0.5</x:v>
      </x:c>
      <x:c r="G9" s="721" t="n">
        <x:v>1</x:v>
      </x:c>
      <x:c r="H9" s="721" t="n">
        <x:v>1</x:v>
      </x:c>
      <x:c r="I9" s="721" t="n">
        <x:v>1</x:v>
      </x:c>
      <x:c r="J9" s="721" t="n">
        <x:v>1</x:v>
      </x:c>
      <x:c r="K9" s="721" t="n">
        <x:v>2</x:v>
      </x:c>
      <x:c r="L9" s="722" t="n">
        <x:f>PRODUCT(B9:K9)^(1/10)</x:f>
        <x:v>0.6988271187715792</x:v>
      </x:c>
      <x:c r="M9" s="723" t="n">
        <x:f>L9/SUM($L$3:$L$12)</x:f>
        <x:v>0.06226791966697823</x:v>
      </x:c>
      <x:c r="N9" s="722" t="n">
        <x:f>B9*$M$3+C9*$M$4+D9*$M$5+E9*$M$6+F9*$M$7+G9*$M$8+H9*$M$9+I9*$M$10+J9*$M$11+K9*$M$12</x:f>
        <x:v>0.6249857560684</x:v>
      </x:c>
      <x:c r="O9" s="724" t="n">
        <x:f>N9/M9</x:f>
        <x:v>10.037042499748726</x:v>
      </x:c>
      <x:c r="P9" s="483"/>
      <x:c r="Q9" s="519" t="str">
        <x:v>Criterion definitions</x:v>
      </x:c>
      <x:c r="R9" s="519"/>
      <x:c r="S9" s="519"/>
      <x:c r="T9" s="483"/>
      <x:c r="U9" s="483"/>
      <x:c r="V9" s="483"/>
      <x:c r="W9" s="483"/>
    </x:row>
    <x:row r="10">
      <x:c r="A10" s="720" t="str">
        <x:v>Sovereignty/exit</x:v>
      </x:c>
      <x:c r="B10" s="721" t="n">
        <x:v>0.3333333333333333</x:v>
      </x:c>
      <x:c r="C10" s="721" t="n">
        <x:v>0.3333333333333333</x:v>
      </x:c>
      <x:c r="D10" s="721" t="n">
        <x:v>0.5</x:v>
      </x:c>
      <x:c r="E10" s="721" t="n">
        <x:v>0.5</x:v>
      </x:c>
      <x:c r="F10" s="721" t="n">
        <x:v>0.5</x:v>
      </x:c>
      <x:c r="G10" s="721" t="n">
        <x:v>1</x:v>
      </x:c>
      <x:c r="H10" s="721" t="n">
        <x:v>1</x:v>
      </x:c>
      <x:c r="I10" s="721" t="n">
        <x:v>1</x:v>
      </x:c>
      <x:c r="J10" s="721" t="n">
        <x:v>1</x:v>
      </x:c>
      <x:c r="K10" s="721" t="n">
        <x:v>2</x:v>
      </x:c>
      <x:c r="L10" s="722" t="n">
        <x:f>PRODUCT(B10:K10)^(1/10)</x:f>
        <x:v>0.6988271187715792</x:v>
      </x:c>
      <x:c r="M10" s="723" t="n">
        <x:f>L10/SUM($L$3:$L$12)</x:f>
        <x:v>0.06226791966697823</x:v>
      </x:c>
      <x:c r="N10" s="722" t="n">
        <x:f>B10*$M$3+C10*$M$4+D10*$M$5+E10*$M$6+F10*$M$7+G10*$M$8+H10*$M$9+I10*$M$10+J10*$M$11+K10*$M$12</x:f>
        <x:v>0.6249857560684</x:v>
      </x:c>
      <x:c r="O10" s="724" t="n">
        <x:f>N10/M10</x:f>
        <x:v>10.037042499748726</x:v>
      </x:c>
      <x:c r="P10" s="483"/>
      <x:c r="Q10" s="725" t="str">
        <x:v>Near-term channel fit</x:v>
      </x:c>
      <x:c r="R10" s="524" t="str">
        <x:v>Direct contribution to wallet connect/auth plus Discord and Telegram linking in the next implementation cycle.</x:v>
      </x:c>
      <x:c r="S10" s="726" t="str">
        <x:v>16.24%</x:v>
      </x:c>
      <x:c r="T10" s="483"/>
      <x:c r="U10" s="483"/>
      <x:c r="V10" s="483"/>
      <x:c r="W10" s="483"/>
    </x:row>
    <x:row r="11">
      <x:c r="A11" s="720" t="str">
        <x:v>Session/SSO continuity</x:v>
      </x:c>
      <x:c r="B11" s="721" t="n">
        <x:v>0.3333333333333333</x:v>
      </x:c>
      <x:c r="C11" s="721" t="n">
        <x:v>0.3333333333333333</x:v>
      </x:c>
      <x:c r="D11" s="721" t="n">
        <x:v>0.5</x:v>
      </x:c>
      <x:c r="E11" s="721" t="n">
        <x:v>0.5</x:v>
      </x:c>
      <x:c r="F11" s="721" t="n">
        <x:v>0.5</x:v>
      </x:c>
      <x:c r="G11" s="721" t="n">
        <x:v>1</x:v>
      </x:c>
      <x:c r="H11" s="721" t="n">
        <x:v>1</x:v>
      </x:c>
      <x:c r="I11" s="721" t="n">
        <x:v>1</x:v>
      </x:c>
      <x:c r="J11" s="721" t="n">
        <x:v>1</x:v>
      </x:c>
      <x:c r="K11" s="721" t="n">
        <x:v>2</x:v>
      </x:c>
      <x:c r="L11" s="722" t="n">
        <x:f>PRODUCT(B11:K11)^(1/10)</x:f>
        <x:v>0.6988271187715792</x:v>
      </x:c>
      <x:c r="M11" s="723" t="n">
        <x:f>L11/SUM($L$3:$L$12)</x:f>
        <x:v>0.06226791966697823</x:v>
      </x:c>
      <x:c r="N11" s="722" t="n">
        <x:f>B11*$M$3+C11*$M$4+D11*$M$5+E11*$M$6+F11*$M$7+G11*$M$8+H11*$M$9+I11*$M$10+J11*$M$11+K11*$M$12</x:f>
        <x:v>0.6249857560684</x:v>
      </x:c>
      <x:c r="O11" s="724" t="n">
        <x:f>N11/M11</x:f>
        <x:v>10.037042499748726</x:v>
      </x:c>
      <x:c r="P11" s="483"/>
      <x:c r="Q11" s="727" t="str">
        <x:v>identity-api architecture fit</x:v>
      </x:c>
      <x:c r="R11" s="529" t="str">
        <x:v>Preserves identity-api as canonical identity source of record and issuer, with credentials entering through adapters.</x:v>
      </x:c>
      <x:c r="S11" s="728" t="str">
        <x:v>15.88%</x:v>
      </x:c>
      <x:c r="T11" s="483"/>
      <x:c r="U11" s="483"/>
      <x:c r="V11" s="483"/>
      <x:c r="W11" s="483"/>
    </x:row>
    <x:row r="12">
      <x:c r="A12" s="729" t="str">
        <x:v>Operational burden/TCO</x:v>
      </x:c>
      <x:c r="B12" s="730" t="n">
        <x:v>0.2</x:v>
      </x:c>
      <x:c r="C12" s="730" t="n">
        <x:v>0.25</x:v>
      </x:c>
      <x:c r="D12" s="730" t="n">
        <x:v>0.3333333333333333</x:v>
      </x:c>
      <x:c r="E12" s="730" t="n">
        <x:v>0.3333333333333333</x:v>
      </x:c>
      <x:c r="F12" s="730" t="n">
        <x:v>0.3333333333333333</x:v>
      </x:c>
      <x:c r="G12" s="730" t="n">
        <x:v>0.5</x:v>
      </x:c>
      <x:c r="H12" s="730" t="n">
        <x:v>0.5</x:v>
      </x:c>
      <x:c r="I12" s="730" t="n">
        <x:v>0.5</x:v>
      </x:c>
      <x:c r="J12" s="730" t="n">
        <x:v>0.5</x:v>
      </x:c>
      <x:c r="K12" s="730" t="n">
        <x:v>1</x:v>
      </x:c>
      <x:c r="L12" s="731" t="n">
        <x:f>PRODUCT(B12:K12)^(1/10)</x:f>
        <x:v>0.40396954554375686</x:v>
      </x:c>
      <x:c r="M12" s="732" t="n">
        <x:f>L12/SUM($L$3:$L$12)</x:f>
        <x:v>0.03599508738876858</x:v>
      </x:c>
      <x:c r="N12" s="731" t="n">
        <x:f>B12*$M$3+C12*$M$4+D12*$M$5+E12*$M$6+F12*$M$7+G12*$M$8+H12*$M$9+I12*$M$10+J12*$M$11+K12*$M$12</x:f>
        <x:v>0.36394963625948995</x:v>
      </x:c>
      <x:c r="O12" s="733" t="n">
        <x:f>N12/M12</x:f>
        <x:v>10.111091892307833</x:v>
      </x:c>
      <x:c r="P12" s="483"/>
      <x:c r="Q12" s="727" t="str">
        <x:v>Chain/platform agnosticism</x:v>
      </x:c>
      <x:c r="R12" s="529" t="str">
        <x:v>Works across wallet namespaces, chains, browsers, native apps, bots, and non-wallet identities without distorting the core model.</x:v>
      </x:c>
      <x:c r="S12" s="728" t="str">
        <x:v>13.12%</x:v>
      </x:c>
      <x:c r="T12" s="483"/>
      <x:c r="U12" s="483"/>
      <x:c r="V12" s="483"/>
      <x:c r="W12" s="483"/>
    </x:row>
    <x:row r="13">
      <x:c r="A13" s="483"/>
      <x:c r="B13" s="483"/>
      <x:c r="C13" s="483"/>
      <x:c r="D13" s="483"/>
      <x:c r="E13" s="483"/>
      <x:c r="F13" s="483"/>
      <x:c r="G13" s="483"/>
      <x:c r="H13" s="483"/>
      <x:c r="I13" s="483"/>
      <x:c r="J13" s="483"/>
      <x:c r="K13" s="483"/>
      <x:c r="L13" s="483"/>
      <x:c r="M13" s="483"/>
      <x:c r="N13" s="483"/>
      <x:c r="O13" s="483"/>
      <x:c r="P13" s="483"/>
      <x:c r="Q13" s="727" t="str">
        <x:v>User friction reduction</x:v>
      </x:c>
      <x:c r="R13" s="529" t="str">
        <x:v>Reduces connector prompts, redirects, repeat sign-ins, recovery friction, and cross-device effort.</x:v>
      </x:c>
      <x:c r="S13" s="728" t="str">
        <x:v>13.12%</x:v>
      </x:c>
      <x:c r="T13" s="483"/>
      <x:c r="U13" s="483"/>
      <x:c r="V13" s="483"/>
      <x:c r="W13" s="483"/>
    </x:row>
    <x:row r="14">
      <x:c r="A14" s="483"/>
      <x:c r="B14" s="483"/>
      <x:c r="C14" s="483"/>
      <x:c r="D14" s="483"/>
      <x:c r="E14" s="483"/>
      <x:c r="F14" s="483"/>
      <x:c r="G14" s="483"/>
      <x:c r="H14" s="483"/>
      <x:c r="I14" s="483"/>
      <x:c r="J14" s="483"/>
      <x:c r="K14" s="483"/>
      <x:c r="L14" s="483"/>
      <x:c r="M14" s="483"/>
      <x:c r="N14" s="483"/>
      <x:c r="O14" s="483"/>
      <x:c r="P14" s="483"/>
      <x:c r="Q14" s="727" t="str">
        <x:v>Security/linking assurance</x:v>
      </x:c>
      <x:c r="R14" s="529" t="str">
        <x:v>Strength of proof, replay resistance, session binding, collision policy, phishing resistance, and account-takeover defenses.</x:v>
      </x:c>
      <x:c r="S14" s="728" t="str">
        <x:v>13.12%</x:v>
      </x:c>
      <x:c r="T14" s="483"/>
      <x:c r="U14" s="483"/>
      <x:c r="V14" s="483"/>
      <x:c r="W14" s="483"/>
    </x:row>
    <x:row r="15">
      <x:c r="A15" s="734" t="str">
        <x:v>n</x:v>
      </x:c>
      <x:c r="B15" s="735" t="n">
        <x:v>10</x:v>
      </x:c>
      <x:c r="C15" s="483"/>
      <x:c r="D15" s="483"/>
      <x:c r="E15" s="483"/>
      <x:c r="F15" s="483"/>
      <x:c r="G15" s="483"/>
      <x:c r="H15" s="483"/>
      <x:c r="I15" s="483"/>
      <x:c r="J15" s="483"/>
      <x:c r="K15" s="483"/>
      <x:c r="L15" s="483"/>
      <x:c r="M15" s="483"/>
      <x:c r="N15" s="483"/>
      <x:c r="O15" s="483"/>
      <x:c r="P15" s="483"/>
      <x:c r="Q15" s="727" t="str">
        <x:v>Maturity/interoperability</x:v>
      </x:c>
      <x:c r="R15" s="529" t="str">
        <x:v>Standards status, provider support, operational precedent, library quality, and portability between implementations.</x:v>
      </x:c>
      <x:c r="S15" s="728" t="str">
        <x:v>6.23%</x:v>
      </x:c>
      <x:c r="T15" s="483"/>
      <x:c r="U15" s="483"/>
      <x:c r="V15" s="483"/>
      <x:c r="W15" s="483"/>
    </x:row>
    <x:row r="16">
      <x:c r="A16" s="736" t="str">
        <x:v>λ max</x:v>
      </x:c>
      <x:c r="B16" s="737" t="n">
        <x:f>AVERAGE(O3:O12)</x:f>
        <x:v>10.06827685019968</x:v>
      </x:c>
      <x:c r="C16" s="483"/>
      <x:c r="D16" s="483"/>
      <x:c r="E16" s="483"/>
      <x:c r="F16" s="483"/>
      <x:c r="G16" s="483"/>
      <x:c r="H16" s="483"/>
      <x:c r="I16" s="483"/>
      <x:c r="J16" s="483"/>
      <x:c r="K16" s="483"/>
      <x:c r="L16" s="483"/>
      <x:c r="M16" s="483"/>
      <x:c r="N16" s="483"/>
      <x:c r="O16" s="483"/>
      <x:c r="P16" s="483"/>
      <x:c r="Q16" s="727" t="str">
        <x:v>Time to production</x:v>
      </x:c>
      <x:c r="R16" s="529" t="str">
        <x:v>How quickly the option can be safely shipped with the current stack and team.</x:v>
      </x:c>
      <x:c r="S16" s="728" t="str">
        <x:v>6.23%</x:v>
      </x:c>
      <x:c r="T16" s="483"/>
      <x:c r="U16" s="483"/>
      <x:c r="V16" s="483"/>
      <x:c r="W16" s="483"/>
    </x:row>
    <x:row r="17">
      <x:c r="A17" s="736" t="str">
        <x:v>Consistency index</x:v>
      </x:c>
      <x:c r="B17" s="737" t="n">
        <x:f>(B16-B15)/(B15-1)</x:f>
        <x:v>0.007586316688853382</x:v>
      </x:c>
      <x:c r="C17" s="483"/>
      <x:c r="D17" s="483"/>
      <x:c r="E17" s="483"/>
      <x:c r="F17" s="483"/>
      <x:c r="G17" s="483"/>
      <x:c r="H17" s="483"/>
      <x:c r="I17" s="483"/>
      <x:c r="J17" s="483"/>
      <x:c r="K17" s="483"/>
      <x:c r="L17" s="483"/>
      <x:c r="M17" s="483"/>
      <x:c r="N17" s="483"/>
      <x:c r="O17" s="483"/>
      <x:c r="P17" s="483"/>
      <x:c r="Q17" s="727" t="str">
        <x:v>Sovereignty/exit</x:v>
      </x:c>
      <x:c r="R17" s="529" t="str">
        <x:v>Control of canonical data and keys, self-hosting, auditable source, replaceability, and vendor exit.</x:v>
      </x:c>
      <x:c r="S17" s="728" t="str">
        <x:v>6.23%</x:v>
      </x:c>
      <x:c r="T17" s="483"/>
      <x:c r="U17" s="483"/>
      <x:c r="V17" s="483"/>
      <x:c r="W17" s="483"/>
    </x:row>
    <x:row r="18">
      <x:c r="A18" s="736" t="str">
        <x:v>Random index</x:v>
      </x:c>
      <x:c r="B18" s="737" t="n">
        <x:v>1.49</x:v>
      </x:c>
      <x:c r="C18" s="483"/>
      <x:c r="D18" s="483"/>
      <x:c r="E18" s="483"/>
      <x:c r="F18" s="483"/>
      <x:c r="G18" s="483"/>
      <x:c r="H18" s="483"/>
      <x:c r="I18" s="483"/>
      <x:c r="J18" s="483"/>
      <x:c r="K18" s="483"/>
      <x:c r="L18" s="483"/>
      <x:c r="M18" s="483"/>
      <x:c r="N18" s="483"/>
      <x:c r="O18" s="483"/>
      <x:c r="P18" s="483"/>
      <x:c r="Q18" s="727" t="str">
        <x:v>Session/SSO continuity</x:v>
      </x:c>
      <x:c r="R18" s="529" t="str">
        <x:v>Ability to resume without repeated wallet/social prompts across reloads, apps, and devices.</x:v>
      </x:c>
      <x:c r="S18" s="728" t="str">
        <x:v>6.23%</x:v>
      </x:c>
      <x:c r="T18" s="483"/>
      <x:c r="U18" s="483"/>
      <x:c r="V18" s="483"/>
      <x:c r="W18" s="483"/>
    </x:row>
    <x:row r="19">
      <x:c r="A19" s="736" t="str">
        <x:v>Consistency ratio</x:v>
      </x:c>
      <x:c r="B19" s="737" t="n">
        <x:f>B17/B18</x:f>
        <x:v>0.005091487710639854</x:v>
      </x:c>
      <x:c r="C19" s="483"/>
      <x:c r="D19" s="483"/>
      <x:c r="E19" s="483"/>
      <x:c r="F19" s="483"/>
      <x:c r="G19" s="483"/>
      <x:c r="H19" s="483"/>
      <x:c r="I19" s="483"/>
      <x:c r="J19" s="483"/>
      <x:c r="K19" s="483"/>
      <x:c r="L19" s="483"/>
      <x:c r="M19" s="483"/>
      <x:c r="N19" s="483"/>
      <x:c r="O19" s="483"/>
      <x:c r="P19" s="483"/>
      <x:c r="Q19" s="738" t="str">
        <x:v>Operational burden/TCO</x:v>
      </x:c>
      <x:c r="R19" s="533" t="str">
        <x:v>Combined reliability, operational complexity, recurring commercial cost, and incident blast radius.</x:v>
      </x:c>
      <x:c r="S19" s="739" t="str">
        <x:v>3.60%</x:v>
      </x:c>
      <x:c r="T19" s="483"/>
      <x:c r="U19" s="483"/>
      <x:c r="V19" s="483"/>
      <x:c r="W19" s="483"/>
    </x:row>
    <x:row r="20">
      <x:c r="A20" s="740" t="str">
        <x:v>Interpretation</x:v>
      </x:c>
      <x:c r="B20" s="741" t="str">
        <x:f>IF(B19&lt;=0.10,"Consistent judgments","Review pairwise judgments")</x:f>
        <x:v>Consistent judgments</x:v>
      </x:c>
      <x:c r="C20" s="483"/>
      <x:c r="D20" s="483"/>
      <x:c r="E20" s="483"/>
      <x:c r="F20" s="483"/>
      <x:c r="G20" s="483"/>
      <x:c r="H20" s="483"/>
      <x:c r="I20" s="483"/>
      <x:c r="J20" s="483"/>
      <x:c r="K20" s="483"/>
      <x:c r="L20" s="483"/>
      <x:c r="M20" s="483"/>
      <x:c r="N20" s="483"/>
      <x:c r="O20" s="483"/>
      <x:c r="P20" s="483"/>
      <x:c r="Q20" s="483"/>
      <x:c r="R20" s="483"/>
      <x:c r="S20" s="483"/>
      <x:c r="T20" s="483"/>
      <x:c r="U20" s="483"/>
      <x:c r="V20" s="483"/>
      <x:c r="W20" s="483"/>
    </x:row>
    <x:row r="21">
      <x:c r="A21" s="483"/>
      <x:c r="B21" s="483"/>
      <x:c r="C21" s="483"/>
      <x:c r="D21" s="483"/>
      <x:c r="E21" s="483"/>
      <x:c r="F21" s="483"/>
      <x:c r="G21" s="483"/>
      <x:c r="H21" s="483"/>
      <x:c r="I21" s="483"/>
      <x:c r="J21" s="483"/>
      <x:c r="K21" s="483"/>
      <x:c r="L21" s="483"/>
      <x:c r="M21" s="483"/>
      <x:c r="N21" s="483"/>
      <x:c r="O21" s="483"/>
      <x:c r="P21" s="483"/>
      <x:c r="Q21" s="483"/>
      <x:c r="R21" s="483"/>
      <x:c r="S21" s="483"/>
      <x:c r="T21" s="483"/>
      <x:c r="U21" s="483"/>
      <x:c r="V21" s="483"/>
      <x:c r="W21" s="483"/>
    </x:row>
    <x:row r="22">
      <x:c r="A22" s="483"/>
      <x:c r="B22" s="483"/>
      <x:c r="C22" s="483"/>
      <x:c r="D22" s="483"/>
      <x:c r="E22" s="483"/>
      <x:c r="F22" s="483"/>
      <x:c r="G22" s="483"/>
      <x:c r="H22" s="483"/>
      <x:c r="I22" s="483"/>
      <x:c r="J22" s="483"/>
      <x:c r="K22" s="483"/>
      <x:c r="L22" s="483"/>
      <x:c r="M22" s="483"/>
      <x:c r="N22" s="483"/>
      <x:c r="O22" s="483"/>
      <x:c r="P22" s="483"/>
      <x:c r="Q22" s="483"/>
      <x:c r="R22" s="483"/>
      <x:c r="S22" s="483"/>
      <x:c r="T22" s="483"/>
      <x:c r="U22" s="483"/>
      <x:c r="V22" s="483"/>
      <x:c r="W22" s="483"/>
    </x:row>
    <x:row r="23">
      <x:c r="A23" s="483"/>
      <x:c r="B23" s="483"/>
      <x:c r="C23" s="483"/>
      <x:c r="D23" s="483"/>
      <x:c r="E23" s="483"/>
      <x:c r="F23" s="483"/>
      <x:c r="G23" s="483"/>
      <x:c r="H23" s="483"/>
      <x:c r="I23" s="483"/>
      <x:c r="J23" s="483"/>
      <x:c r="K23" s="483"/>
      <x:c r="L23" s="483"/>
      <x:c r="M23" s="483"/>
      <x:c r="N23" s="483"/>
      <x:c r="O23" s="483"/>
      <x:c r="P23" s="483"/>
      <x:c r="Q23" s="483"/>
      <x:c r="R23" s="483"/>
      <x:c r="S23" s="483"/>
      <x:c r="T23" s="483"/>
      <x:c r="U23" s="483"/>
      <x:c r="V23" s="483"/>
      <x:c r="W23" s="483"/>
    </x:row>
    <x:row r="24">
      <x:c r="A24" s="483"/>
      <x:c r="B24" s="483"/>
      <x:c r="C24" s="483"/>
      <x:c r="D24" s="483"/>
      <x:c r="E24" s="483"/>
      <x:c r="F24" s="483"/>
      <x:c r="G24" s="483"/>
      <x:c r="H24" s="483"/>
      <x:c r="I24" s="483"/>
      <x:c r="J24" s="483"/>
      <x:c r="K24" s="483"/>
      <x:c r="L24" s="483"/>
      <x:c r="M24" s="483"/>
      <x:c r="N24" s="483"/>
      <x:c r="O24" s="483"/>
      <x:c r="P24" s="483"/>
      <x:c r="Q24" s="483"/>
      <x:c r="R24" s="483"/>
      <x:c r="S24" s="483"/>
      <x:c r="T24" s="483"/>
      <x:c r="U24" s="483"/>
      <x:c r="V24" s="483"/>
      <x:c r="W24" s="483"/>
    </x:row>
    <x:row r="25">
      <x:c r="A25" s="483"/>
      <x:c r="B25" s="483"/>
      <x:c r="C25" s="483"/>
      <x:c r="D25" s="483"/>
      <x:c r="E25" s="483"/>
      <x:c r="F25" s="483"/>
      <x:c r="G25" s="483"/>
      <x:c r="H25" s="483"/>
      <x:c r="I25" s="483"/>
      <x:c r="J25" s="483"/>
      <x:c r="K25" s="483"/>
      <x:c r="L25" s="483"/>
      <x:c r="M25" s="483"/>
      <x:c r="N25" s="483"/>
      <x:c r="O25" s="483"/>
      <x:c r="P25" s="483"/>
      <x:c r="Q25" s="483"/>
      <x:c r="R25" s="483"/>
      <x:c r="S25" s="483"/>
      <x:c r="T25" s="483"/>
      <x:c r="U25" s="483"/>
      <x:c r="V25" s="483"/>
      <x:c r="W25" s="483"/>
    </x:row>
    <x:row r="26">
      <x:c r="A26" s="483"/>
      <x:c r="B26" s="483"/>
      <x:c r="C26" s="483"/>
      <x:c r="D26" s="483"/>
      <x:c r="E26" s="483"/>
      <x:c r="F26" s="483"/>
      <x:c r="G26" s="483"/>
      <x:c r="H26" s="483"/>
      <x:c r="I26" s="483"/>
      <x:c r="J26" s="483"/>
      <x:c r="K26" s="483"/>
      <x:c r="L26" s="483"/>
      <x:c r="M26" s="483"/>
      <x:c r="N26" s="483"/>
      <x:c r="O26" s="483"/>
      <x:c r="P26" s="483"/>
      <x:c r="Q26" s="483"/>
      <x:c r="R26" s="483"/>
      <x:c r="S26" s="483"/>
      <x:c r="T26" s="483"/>
      <x:c r="U26" s="483"/>
      <x:c r="V26" s="483"/>
      <x:c r="W26" s="483"/>
    </x:row>
    <x:row r="27">
      <x:c r="A27" s="483"/>
      <x:c r="B27" s="483"/>
      <x:c r="C27" s="483"/>
      <x:c r="D27" s="483"/>
      <x:c r="E27" s="483"/>
      <x:c r="F27" s="483"/>
      <x:c r="G27" s="483"/>
      <x:c r="H27" s="483"/>
      <x:c r="I27" s="483"/>
      <x:c r="J27" s="483"/>
      <x:c r="K27" s="483"/>
      <x:c r="L27" s="483"/>
      <x:c r="M27" s="483"/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>
      <x:c r="A28" s="483"/>
      <x:c r="B28" s="483"/>
      <x:c r="C28" s="483"/>
      <x:c r="D28" s="483"/>
      <x:c r="E28" s="483"/>
      <x:c r="F28" s="483"/>
      <x:c r="G28" s="483"/>
      <x:c r="H28" s="483"/>
      <x:c r="I28" s="483"/>
      <x:c r="J28" s="483"/>
      <x:c r="K28" s="483"/>
      <x:c r="L28" s="483"/>
      <x:c r="M28" s="483"/>
      <x:c r="N28" s="483"/>
      <x:c r="O28" s="483"/>
      <x:c r="P28" s="483"/>
      <x:c r="Q28" s="483"/>
      <x:c r="R28" s="483"/>
      <x:c r="S28" s="483"/>
      <x:c r="T28" s="483"/>
      <x:c r="U28" s="483"/>
      <x:c r="V28" s="483"/>
      <x:c r="W28" s="483"/>
    </x:row>
    <x:row r="29">
      <x:c r="A29" s="483"/>
      <x:c r="B29" s="483"/>
      <x:c r="C29" s="483"/>
      <x:c r="D29" s="483"/>
      <x:c r="E29" s="483"/>
      <x:c r="F29" s="483"/>
      <x:c r="G29" s="483"/>
      <x:c r="H29" s="483"/>
      <x:c r="I29" s="483"/>
      <x:c r="J29" s="483"/>
      <x:c r="K29" s="483"/>
      <x:c r="L29" s="483"/>
      <x:c r="M29" s="483"/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>
      <x:c r="A30" s="483"/>
      <x:c r="B30" s="483"/>
      <x:c r="C30" s="483"/>
      <x:c r="D30" s="483"/>
      <x:c r="E30" s="483"/>
      <x:c r="F30" s="483"/>
      <x:c r="G30" s="483"/>
      <x:c r="H30" s="483"/>
      <x:c r="I30" s="483"/>
      <x:c r="J30" s="483"/>
      <x:c r="K30" s="483"/>
      <x:c r="L30" s="483"/>
      <x:c r="M30" s="483"/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>
      <x:c r="A31" s="483"/>
      <x:c r="B31" s="483"/>
      <x:c r="C31" s="483"/>
      <x:c r="D31" s="483"/>
      <x:c r="E31" s="483"/>
      <x:c r="F31" s="483"/>
      <x:c r="G31" s="483"/>
      <x:c r="H31" s="483"/>
      <x:c r="I31" s="483"/>
      <x:c r="J31" s="483"/>
      <x:c r="K31" s="483"/>
      <x:c r="L31" s="483"/>
      <x:c r="M31" s="483"/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>
      <x:c r="A32" s="483"/>
      <x:c r="B32" s="483"/>
      <x:c r="C32" s="483"/>
      <x:c r="D32" s="483"/>
      <x:c r="E32" s="483"/>
      <x:c r="F32" s="483"/>
      <x:c r="G32" s="483"/>
      <x:c r="H32" s="483"/>
      <x:c r="I32" s="483"/>
      <x:c r="J32" s="483"/>
      <x:c r="K32" s="483"/>
      <x:c r="L32" s="483"/>
      <x:c r="M32" s="483"/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>
      <x:c r="A33" s="483"/>
      <x:c r="B33" s="483"/>
      <x:c r="C33" s="483"/>
      <x:c r="D33" s="483"/>
      <x:c r="E33" s="483"/>
      <x:c r="F33" s="483"/>
      <x:c r="G33" s="483"/>
      <x:c r="H33" s="483"/>
      <x:c r="I33" s="483"/>
      <x:c r="J33" s="483"/>
      <x:c r="K33" s="483"/>
      <x:c r="L33" s="483"/>
      <x:c r="M33" s="483"/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>
      <x:c r="A34" s="483"/>
      <x:c r="B34" s="483"/>
      <x:c r="C34" s="483"/>
      <x:c r="D34" s="483"/>
      <x:c r="E34" s="483"/>
      <x:c r="F34" s="483"/>
      <x:c r="G34" s="483"/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>
      <x:c r="A35" s="483"/>
      <x:c r="B35" s="483"/>
      <x:c r="C35" s="483"/>
      <x:c r="D35" s="483"/>
      <x:c r="E35" s="483"/>
      <x:c r="F35" s="483"/>
      <x:c r="G35" s="483"/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>
      <x:c r="A36" s="483"/>
      <x:c r="B36" s="483"/>
      <x:c r="C36" s="483"/>
      <x:c r="D36" s="483"/>
      <x:c r="E36" s="483"/>
      <x:c r="F36" s="483"/>
      <x:c r="G36" s="483"/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>
      <x:c r="A37" s="483"/>
      <x:c r="B37" s="483"/>
      <x:c r="C37" s="483"/>
      <x:c r="D37" s="483"/>
      <x:c r="E37" s="483"/>
      <x:c r="F37" s="483"/>
      <x:c r="G37" s="483"/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>
      <x:c r="A38" s="483"/>
      <x:c r="B38" s="483"/>
      <x:c r="C38" s="483"/>
      <x:c r="D38" s="483"/>
      <x:c r="E38" s="483"/>
      <x:c r="F38" s="483"/>
      <x:c r="G38" s="483"/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>
      <x:c r="A39" s="483"/>
      <x:c r="B39" s="483"/>
      <x:c r="C39" s="483"/>
      <x:c r="D39" s="483"/>
      <x:c r="E39" s="483"/>
      <x:c r="F39" s="483"/>
      <x:c r="G39" s="483"/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>
      <x:c r="A40" s="483"/>
      <x:c r="B40" s="483"/>
      <x:c r="C40" s="483"/>
      <x:c r="D40" s="483"/>
      <x:c r="E40" s="483"/>
      <x:c r="F40" s="483"/>
      <x:c r="G40" s="483"/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>
      <x:c r="A41" s="483"/>
      <x:c r="B41" s="483"/>
      <x:c r="C41" s="483"/>
      <x:c r="D41" s="483"/>
      <x:c r="E41" s="483"/>
      <x:c r="F41" s="483"/>
      <x:c r="G41" s="483"/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>
      <x:c r="A42" s="483"/>
      <x:c r="B42" s="483"/>
      <x:c r="C42" s="483"/>
      <x:c r="D42" s="483"/>
      <x:c r="E42" s="483"/>
      <x:c r="F42" s="483"/>
      <x:c r="G42" s="483"/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O1"/>
    <x:mergeCell ref="Q9:S9"/>
  </x:mergeCells>
  <x:conditionalFormatting sqref="M3:M12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{469711A1-201D-8597-6763-6EC7BDDD0584}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9711A1-201D-8597-6763-6EC7BDDD0584}">
            <x14:dataBar gradient="1">
              <x14:cfvo type="min"/>
              <x14:cfvo type="max"/>
              <x14:fillColor rgb="FF0F766E"/>
            </x14:dataBar>
          </x14:cfRule>
          <xm:sqref>M3:M12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9" hidden="0" customWidth="1"/>
    <x:col min="4" max="4" width="28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4" hidden="0" customWidth="1"/>
    <x:col min="19" max="19" width="12" hidden="0" customWidth="1"/>
    <x:col min="20" max="20" width="44" hidden="0" customWidth="1"/>
    <x:col min="21" max="21" width="44" hidden="0" customWidth="1"/>
    <x:col min="22" max="22" width="46" hidden="0" customWidth="1"/>
    <x:col min="23" max="23" width="46" hidden="0" customWidth="1"/>
  </x:cols>
  <x:sheetData>
    <x:row r="1">
      <x:c r="A1" s="481" t="str">
        <x:v>Option ratings — editable absolute ratings with formula-driven AHP scores</x:v>
      </x:c>
      <x:c r="B1" s="481"/>
      <x:c r="C1" s="481"/>
      <x:c r="D1" s="481"/>
      <x:c r="E1" s="481"/>
      <x:c r="F1" s="481"/>
      <x:c r="G1" s="481"/>
      <x:c r="H1" s="481"/>
      <x:c r="I1" s="481"/>
      <x:c r="J1" s="481"/>
      <x:c r="K1" s="481"/>
      <x:c r="L1" s="481"/>
      <x:c r="M1" s="481"/>
      <x:c r="N1" s="481"/>
      <x:c r="O1" s="481"/>
      <x:c r="P1" s="481"/>
      <x:c r="Q1" s="481"/>
      <x:c r="R1" s="481"/>
      <x:c r="S1" s="481"/>
      <x:c r="T1" s="481"/>
      <x:c r="U1" s="481"/>
      <x:c r="V1" s="481"/>
      <x:c r="W1" s="481"/>
    </x:row>
    <x:row r="2">
      <x:c r="A2" s="520" t="str">
        <x:v>Rank</x:v>
      </x:c>
      <x:c r="B2" s="521" t="str">
        <x:v>Option</x:v>
      </x:c>
      <x:c r="C2" s="521" t="str">
        <x:v>Lane</x:v>
      </x:c>
      <x:c r="D2" s="521" t="str">
        <x:v>Recommendation</x:v>
      </x:c>
      <x:c r="E2" s="521" t="str">
        <x:v>Horizon</x:v>
      </x:c>
      <x:c r="F2" s="521" t="str">
        <x:v>Confidence</x:v>
      </x:c>
      <x:c r="G2" s="521" t="str">
        <x:v>Near-term channels</x:v>
      </x:c>
      <x:c r="H2" s="521" t="str">
        <x:v>Architecture fit</x:v>
      </x:c>
      <x:c r="I2" s="521" t="str">
        <x:v>Chain agnostic</x:v>
      </x:c>
      <x:c r="J2" s="521" t="str">
        <x:v>Friction</x:v>
      </x:c>
      <x:c r="K2" s="521" t="str">
        <x:v>Security</x:v>
      </x:c>
      <x:c r="L2" s="521" t="str">
        <x:v>Maturity</x:v>
      </x:c>
      <x:c r="M2" s="521" t="str">
        <x:v>Time to prod</x:v>
      </x:c>
      <x:c r="N2" s="521" t="str">
        <x:v>Sovereignty</x:v>
      </x:c>
      <x:c r="O2" s="521" t="str">
        <x:v>Session continuity</x:v>
      </x:c>
      <x:c r="P2" s="521" t="str">
        <x:v>Ops / TCO</x:v>
      </x:c>
      <x:c r="Q2" s="521" t="str">
        <x:v>Weighted mean</x:v>
      </x:c>
      <x:c r="R2" s="521" t="str">
        <x:v>AHP score / 100</x:v>
      </x:c>
      <x:c r="S2" s="521" t="str">
        <x:v>Rank range</x:v>
      </x:c>
      <x:c r="T2" s="521" t="str">
        <x:v>Applicability to identity-api</x:v>
      </x:c>
      <x:c r="U2" s="521" t="str">
        <x:v>Key tradeoff / limitation</x:v>
      </x:c>
      <x:c r="V2" s="521" t="str">
        <x:v>Primary source 1</x:v>
      </x:c>
      <x:c r="W2" s="522" t="str">
        <x:v>Primary source 2</x:v>
      </x:c>
    </x:row>
    <x:row r="3" ht="58" customHeight="1">
      <x:c r="A3" s="523" t="n">
        <x:f>RANK(R3,$R$3:$R$25,0)</x:f>
        <x:v>1</x:v>
      </x:c>
      <x:c r="B3" s="524" t="str">
        <x:v>Native identity-api broker + durable session</x:v>
      </x:c>
      <x:c r="C3" s="524" t="str">
        <x:v>Foundation</x:v>
      </x:c>
      <x:c r="D3" s="524" t="str">
        <x:v>ADOPT — platform baseline</x:v>
      </x:c>
      <x:c r="E3" s="524" t="str">
        <x:v>P0 / now</x:v>
      </x:c>
      <x:c r="F3" s="524" t="str">
        <x:v>High</x:v>
      </x:c>
      <x:c r="G3" s="769" t="n">
        <x:v>9</x:v>
      </x:c>
      <x:c r="H3" s="769" t="n">
        <x:v>9</x:v>
      </x:c>
      <x:c r="I3" s="769" t="n">
        <x:v>9</x:v>
      </x:c>
      <x:c r="J3" s="769" t="n">
        <x:v>7</x:v>
      </x:c>
      <x:c r="K3" s="769" t="n">
        <x:v>9</x:v>
      </x:c>
      <x:c r="L3" s="769" t="n">
        <x:v>7</x:v>
      </x:c>
      <x:c r="M3" s="769" t="n">
        <x:v>6</x:v>
      </x:c>
      <x:c r="N3" s="769" t="n">
        <x:v>9</x:v>
      </x:c>
      <x:c r="O3" s="769" t="n">
        <x:v>9</x:v>
      </x:c>
      <x:c r="P3" s="769" t="n">
        <x:v>5</x:v>
      </x:c>
      <x:c r="Q3" s="716" t="n">
        <x:f>G3*'AHP Weights'!$M$3+H3*'AHP Weights'!$M$4+I3*'AHP Weights'!$M$5+J3*'AHP Weights'!$M$6+K3*'AHP Weights'!$M$7+L3*'AHP Weights'!$M$8+M3*'AHP Weights'!$M$9+N3*'AHP Weights'!$M$10+O3*'AHP Weights'!$M$11+P3*'AHP Weights'!$M$12</x:f>
        <x:v>8.28222875354266</x:v>
      </x:c>
      <x:c r="R3" s="526" t="n">
        <x:f>ROUND((Q3-1)/8*100,6)</x:f>
        <x:v>91.027859</x:v>
      </x:c>
      <x:c r="S3" s="525" t="str">
        <x:v>1–8</x:v>
      </x:c>
      <x:c r="T3" s="524" t="str">
        <x:v>The canonical credential-link ledger, link-intent state machine, collision policy, session resume, and audience-specific token issuance belong here.</x:v>
      </x:c>
      <x:c r="U3" s="524" t="str">
        <x:v>Highest build burden, but every other option becomes replaceable and composable instead of becoming a second source of truth.</x:v>
      </x:c>
      <x:c r="V3" s="524" t="str">
        <x:v>https://github.com/0xHoneyJar/identity-api/blob/6908a76f45f1004d26f6b16309c15fc793f744db/grimoires/loa/2026-06-01-auth-decision-reconciled.md</x:v>
      </x:c>
      <x:c r="W3" s="527" t="str">
        <x:v>https://datatracker.ietf.org/doc/rfc9700/</x:v>
      </x:c>
    </x:row>
    <x:row r="4" ht="58" customHeight="1">
      <x:c r="A4" s="528" t="n">
        <x:f>RANK(R4,$R$3:$R$25,0)</x:f>
        <x:v>2</x:v>
      </x:c>
      <x:c r="B4" s="529" t="str">
        <x:v>Telegram OIDC linking</x:v>
      </x:c>
      <x:c r="C4" s="529" t="str">
        <x:v>Chat/social</x:v>
      </x:c>
      <x:c r="D4" s="529" t="str">
        <x:v>ADOPT</x:v>
      </x:c>
      <x:c r="E4" s="529" t="str">
        <x:v>P0</x:v>
      </x:c>
      <x:c r="F4" s="529" t="str">
        <x:v>High-medium</x:v>
      </x:c>
      <x:c r="G4" s="770" t="n">
        <x:v>8</x:v>
      </x:c>
      <x:c r="H4" s="770" t="n">
        <x:v>9</x:v>
      </x:c>
      <x:c r="I4" s="770" t="n">
        <x:v>9</x:v>
      </x:c>
      <x:c r="J4" s="770" t="n">
        <x:v>8</x:v>
      </x:c>
      <x:c r="K4" s="770" t="n">
        <x:v>8</x:v>
      </x:c>
      <x:c r="L4" s="770" t="n">
        <x:v>7</x:v>
      </x:c>
      <x:c r="M4" s="770" t="n">
        <x:v>8</x:v>
      </x:c>
      <x:c r="N4" s="770" t="n">
        <x:v>9</x:v>
      </x:c>
      <x:c r="O4" s="770" t="n">
        <x:v>7</x:v>
      </x:c>
      <x:c r="P4" s="770" t="n">
        <x:v>7</x:v>
      </x:c>
      <x:c r="Q4" s="721" t="n">
        <x:f>G4*'AHP Weights'!$M$3+H4*'AHP Weights'!$M$4+I4*'AHP Weights'!$M$5+J4*'AHP Weights'!$M$6+K4*'AHP Weights'!$M$7+L4*'AHP Weights'!$M$8+M4*'AHP Weights'!$M$9+N4*'AHP Weights'!$M$10+O4*'AHP Weights'!$M$11+P4*'AHP Weights'!$M$12</x:f>
        <x:v>8.191798702920465</x:v>
      </x:c>
      <x:c r="R4" s="530" t="n">
        <x:f>ROUND((Q4-1)/8*100,6)</x:f>
        <x:v>89.897484</x:v>
      </x:c>
      <x:c r="S4" s="483" t="str">
        <x:v>2–4</x:v>
      </x:c>
      <x:c r="T4" s="529" t="str">
        <x:v>Official OIDC authorization-code adapter gives Telegram parity with Discord while preserving provider-neutral subjects and proof records.</x:v>
      </x:c>
      <x:c r="U4" s="529" t="str">
        <x:v>Newer ecosystem path; implementation must validate discovery/JWKS, issuer, audience, expiry, nonce/state, and PKCE.</x:v>
      </x:c>
      <x:c r="V4" s="529" t="str">
        <x:v>https://core.telegram.org/bots/telegram-login</x:v>
      </x:c>
      <x:c r="W4" s="531" t="str">
        <x:v>https://datatracker.ietf.org/doc/rfc9700/</x:v>
      </x:c>
    </x:row>
    <x:row r="5" ht="58" customHeight="1">
      <x:c r="A5" s="528" t="n">
        <x:f>RANK(R5,$R$3:$R$25,0)</x:f>
        <x:v>3</x:v>
      </x:c>
      <x:c r="B5" s="529" t="str">
        <x:v>Discord OAuth2 linking</x:v>
      </x:c>
      <x:c r="C5" s="529" t="str">
        <x:v>Chat/social</x:v>
      </x:c>
      <x:c r="D5" s="529" t="str">
        <x:v>ADOPT</x:v>
      </x:c>
      <x:c r="E5" s="529" t="str">
        <x:v>P0</x:v>
      </x:c>
      <x:c r="F5" s="529" t="str">
        <x:v>High</x:v>
      </x:c>
      <x:c r="G5" s="770" t="n">
        <x:v>7</x:v>
      </x:c>
      <x:c r="H5" s="770" t="n">
        <x:v>9</x:v>
      </x:c>
      <x:c r="I5" s="770" t="n">
        <x:v>9</x:v>
      </x:c>
      <x:c r="J5" s="770" t="n">
        <x:v>7</x:v>
      </x:c>
      <x:c r="K5" s="770" t="n">
        <x:v>8</x:v>
      </x:c>
      <x:c r="L5" s="770" t="n">
        <x:v>9</x:v>
      </x:c>
      <x:c r="M5" s="770" t="n">
        <x:v>9</x:v>
      </x:c>
      <x:c r="N5" s="770" t="n">
        <x:v>9</x:v>
      </x:c>
      <x:c r="O5" s="770" t="n">
        <x:v>7</x:v>
      </x:c>
      <x:c r="P5" s="770" t="n">
        <x:v>8</x:v>
      </x:c>
      <x:c r="Q5" s="721" t="n">
        <x:f>G5*'AHP Weights'!$M$3+H5*'AHP Weights'!$M$4+I5*'AHP Weights'!$M$5+J5*'AHP Weights'!$M$6+K5*'AHP Weights'!$M$7+L5*'AHP Weights'!$M$8+M5*'AHP Weights'!$M$9+N5*'AHP Weights'!$M$10+O5*'AHP Weights'!$M$11+P5*'AHP Weights'!$M$12</x:f>
        <x:v>8.120951674626752</x:v>
      </x:c>
      <x:c r="R5" s="530" t="n">
        <x:f>ROUND((Q5-1)/8*100,6)</x:f>
        <x:v>89.011896</x:v>
      </x:c>
      <x:c r="S5" s="483" t="str">
        <x:v>2–7</x:v>
      </x:c>
      <x:c r="T5" s="529" t="str">
        <x:v>Direct near-term credential adapter keyed by immutable Discord issuer + subject; use identify-only scope first.</x:v>
      </x:c>
      <x:c r="U5" s="529" t="str">
        <x:v>OAuth linking must be bound to the initiating identity-api session and provider/client context; no username or email merging.</x:v>
      </x:c>
      <x:c r="V5" s="529" t="str">
        <x:v>https://docs.discord.com/developers/topics/oauth2</x:v>
      </x:c>
      <x:c r="W5" s="531" t="str">
        <x:v>https://docs.discord.com/developers/platform/account-linking</x:v>
      </x:c>
    </x:row>
    <x:row r="6" ht="58" customHeight="1">
      <x:c r="A6" s="528" t="n">
        <x:f>RANK(R6,$R$3:$R$25,0)</x:f>
        <x:v>4</x:v>
      </x:c>
      <x:c r="B6" s="529" t="str">
        <x:v>Discord/Telegram bot deep-link + one-time code</x:v>
      </x:c>
      <x:c r="C6" s="529" t="str">
        <x:v>Chat-native</x:v>
      </x:c>
      <x:c r="D6" s="529" t="str">
        <x:v>ADOPT with cross-device guardrails</x:v>
      </x:c>
      <x:c r="E6" s="529" t="str">
        <x:v>P0</x:v>
      </x:c>
      <x:c r="F6" s="529" t="str">
        <x:v>High-medium</x:v>
      </x:c>
      <x:c r="G6" s="770" t="n">
        <x:v>9</x:v>
      </x:c>
      <x:c r="H6" s="770" t="n">
        <x:v>9</x:v>
      </x:c>
      <x:c r="I6" s="770" t="n">
        <x:v>9</x:v>
      </x:c>
      <x:c r="J6" s="770" t="n">
        <x:v>7</x:v>
      </x:c>
      <x:c r="K6" s="770" t="n">
        <x:v>7</x:v>
      </x:c>
      <x:c r="L6" s="770" t="n">
        <x:v>8</x:v>
      </x:c>
      <x:c r="M6" s="770" t="n">
        <x:v>7</x:v>
      </x:c>
      <x:c r="N6" s="770" t="n">
        <x:v>9</x:v>
      </x:c>
      <x:c r="O6" s="770" t="n">
        <x:v>7</x:v>
      </x:c>
      <x:c r="P6" s="770" t="n">
        <x:v>6</x:v>
      </x:c>
      <x:c r="Q6" s="721" t="n">
        <x:f>G6*'AHP Weights'!$M$3+H6*'AHP Weights'!$M$4+I6*'AHP Weights'!$M$5+J6*'AHP Weights'!$M$6+K6*'AHP Weights'!$M$7+L6*'AHP Weights'!$M$8+M6*'AHP Weights'!$M$9+N6*'AHP Weights'!$M$10+O6*'AHP Weights'!$M$11+P6*'AHP Weights'!$M$12</x:f>
        <x:v>8.055772542364053</x:v>
      </x:c>
      <x:c r="R6" s="530" t="n">
        <x:f>ROUND((Q6-1)/8*100,6)</x:f>
        <x:v>88.197157</x:v>
      </x:c>
      <x:c r="S6" s="483" t="str">
        <x:v>4–11</x:v>
      </x:c>
      <x:c r="T6" s="529" t="str">
        <x:v>Best chat-native bridge for linking a bot interaction to an authenticated web identity or starting a link from Discord/Telegram.</x:v>
      </x:c>
      <x:c r="U6" s="529" t="str">
        <x:v>Cross-device links are phishing/session-fixation targets; codes must be unique, short-lived, single-use, context-bound, and visibly confirmed.</x:v>
      </x:c>
      <x:c r="V6" s="529" t="str">
        <x:v>https://datatracker.ietf.org/doc/draft-ietf-oauth-cross-device-security/16/</x:v>
      </x:c>
      <x:c r="W6" s="531" t="str">
        <x:v>https://datatracker.ietf.org/doc/draft-ietf-oauth-security-topics-update/</x:v>
      </x:c>
    </x:row>
    <x:row r="7" ht="58" customHeight="1">
      <x:c r="A7" s="528" t="n">
        <x:f>RANK(R7,$R$3:$R$25,0)</x:f>
        <x:v>5</x:v>
      </x:c>
      <x:c r="B7" s="529" t="str">
        <x:v>Native WebAuthn/passkey adapter</x:v>
      </x:c>
      <x:c r="C7" s="529" t="str">
        <x:v>Credential</x:v>
      </x:c>
      <x:c r="D7" s="529" t="str">
        <x:v>ADOPT after first verified credential</x:v>
      </x:c>
      <x:c r="E7" s="529" t="str">
        <x:v>P1</x:v>
      </x:c>
      <x:c r="F7" s="529" t="str">
        <x:v>High</x:v>
      </x:c>
      <x:c r="G7" s="770" t="n">
        <x:v>5</x:v>
      </x:c>
      <x:c r="H7" s="770" t="n">
        <x:v>9</x:v>
      </x:c>
      <x:c r="I7" s="770" t="n">
        <x:v>9</x:v>
      </x:c>
      <x:c r="J7" s="770" t="n">
        <x:v>9</x:v>
      </x:c>
      <x:c r="K7" s="770" t="n">
        <x:v>9</x:v>
      </x:c>
      <x:c r="L7" s="770" t="n">
        <x:v>9</x:v>
      </x:c>
      <x:c r="M7" s="770" t="n">
        <x:v>5</x:v>
      </x:c>
      <x:c r="N7" s="770" t="n">
        <x:v>9</x:v>
      </x:c>
      <x:c r="O7" s="770" t="n">
        <x:v>9</x:v>
      </x:c>
      <x:c r="P7" s="770" t="n">
        <x:v>6</x:v>
      </x:c>
      <x:c r="Q7" s="721" t="n">
        <x:f>G7*'AHP Weights'!$M$3+H7*'AHP Weights'!$M$4+I7*'AHP Weights'!$M$5+J7*'AHP Weights'!$M$6+K7*'AHP Weights'!$M$7+L7*'AHP Weights'!$M$8+M7*'AHP Weights'!$M$9+N7*'AHP Weights'!$M$10+O7*'AHP Weights'!$M$11+P7*'AHP Weights'!$M$12</x:f>
        <x:v>7.993262157566859</x:v>
      </x:c>
      <x:c r="R7" s="530" t="n">
        <x:f>ROUND((Q7-1)/8*100,6)</x:f>
        <x:v>87.415777</x:v>
      </x:c>
      <x:c r="S7" s="483" t="str">
        <x:v>2–13</x:v>
      </x:c>
      <x:c r="T7" s="529" t="str">
        <x:v>Best returning-user login and recovery credential once wallet, Discord, or Telegram has established the canonical user.</x:v>
      </x:c>
      <x:c r="U7" s="529" t="str">
        <x:v>Requires RP-ID/origin planning and recovery policy; synced passkeys optimize availability while device-bound authenticators offer stronger isolation.</x:v>
      </x:c>
      <x:c r="V7" s="529" t="str">
        <x:v>https://www.w3.org/TR/webauthn-3/</x:v>
      </x:c>
      <x:c r="W7" s="531" t="str">
        <x:v>https://pages.nist.gov/800-63-4/sp800-63b/syncable/</x:v>
      </x:c>
    </x:row>
    <x:row r="8" ht="58" customHeight="1">
      <x:c r="A8" s="528" t="n">
        <x:f>RANK(R8,$R$3:$R$25,0)</x:f>
        <x:v>6</x:v>
      </x:c>
      <x:c r="B8" s="529" t="str">
        <x:v>Telegram Mini App initData</x:v>
      </x:c>
      <x:c r="C8" s="529" t="str">
        <x:v>Chat/social</x:v>
      </x:c>
      <x:c r="D8" s="529" t="str">
        <x:v>ADOPT for Mini App surfaces</x:v>
      </x:c>
      <x:c r="E8" s="529" t="str">
        <x:v>P0.5 / P1</x:v>
      </x:c>
      <x:c r="F8" s="529" t="str">
        <x:v>High</x:v>
      </x:c>
      <x:c r="G8" s="770" t="n">
        <x:v>8</x:v>
      </x:c>
      <x:c r="H8" s="770" t="n">
        <x:v>8</x:v>
      </x:c>
      <x:c r="I8" s="770" t="n">
        <x:v>9</x:v>
      </x:c>
      <x:c r="J8" s="770" t="n">
        <x:v>9</x:v>
      </x:c>
      <x:c r="K8" s="770" t="n">
        <x:v>7</x:v>
      </x:c>
      <x:c r="L8" s="770" t="n">
        <x:v>8</x:v>
      </x:c>
      <x:c r="M8" s="770" t="n">
        <x:v>7</x:v>
      </x:c>
      <x:c r="N8" s="770" t="n">
        <x:v>9</x:v>
      </x:c>
      <x:c r="O8" s="770" t="n">
        <x:v>5</x:v>
      </x:c>
      <x:c r="P8" s="770" t="n">
        <x:v>7</x:v>
      </x:c>
      <x:c r="Q8" s="721" t="n">
        <x:f>G8*'AHP Weights'!$M$3+H8*'AHP Weights'!$M$4+I8*'AHP Weights'!$M$5+J8*'AHP Weights'!$M$6+K8*'AHP Weights'!$M$7+L8*'AHP Weights'!$M$8+M8*'AHP Weights'!$M$9+N8*'AHP Weights'!$M$10+O8*'AHP Weights'!$M$11+P8*'AHP Weights'!$M$12</x:f>
        <x:v>7.908426802893985</x:v>
      </x:c>
      <x:c r="R8" s="530" t="n">
        <x:f>ROUND((Q8-1)/8*100,6)</x:f>
        <x:v>86.355335</x:v>
      </x:c>
      <x:c r="S8" s="483" t="str">
        <x:v>6–8</x:v>
      </x:c>
      <x:c r="T8" s="529" t="str">
        <x:v>Lowest-friction way to establish Telegram identity inside a Mini App and then link or resume the canonical identity-api user.</x:v>
      </x:c>
      <x:c r="U8" s="529" t="str">
        <x:v>Only valid in the Telegram-hosted surface; requires strict server validation, freshness bounds, replay controls, and explicit linkage policy.</x:v>
      </x:c>
      <x:c r="V8" s="529" t="str">
        <x:v>https://core.telegram.org/bots/webapps</x:v>
      </x:c>
      <x:c r="W8" s="531" t="str">
        <x:v>https://datatracker.ietf.org/doc/draft-ietf-oauth-cross-device-security/16/</x:v>
      </x:c>
    </x:row>
    <x:row r="9" ht="58" customHeight="1">
      <x:c r="A9" s="528" t="n">
        <x:f>RANK(R9,$R$3:$R$25,0)</x:f>
        <x:v>7</x:v>
      </x:c>
      <x:c r="B9" s="529" t="str">
        <x:v>Privy</x:v>
      </x:c>
      <x:c r="C9" s="529" t="str">
        <x:v>Managed vendor</x:v>
      </x:c>
      <x:c r="D9" s="529" t="str">
        <x:v>BEST buy candidate if activation speed dominates</x:v>
      </x:c>
      <x:c r="E9" s="529" t="str">
        <x:v>Conditional</x:v>
      </x:c>
      <x:c r="F9" s="529" t="str">
        <x:v>High</x:v>
      </x:c>
      <x:c r="G9" s="770" t="n">
        <x:v>9</x:v>
      </x:c>
      <x:c r="H9" s="770" t="n">
        <x:v>5</x:v>
      </x:c>
      <x:c r="I9" s="770" t="n">
        <x:v>9</x:v>
      </x:c>
      <x:c r="J9" s="770" t="n">
        <x:v>9</x:v>
      </x:c>
      <x:c r="K9" s="770" t="n">
        <x:v>8</x:v>
      </x:c>
      <x:c r="L9" s="770" t="n">
        <x:v>9</x:v>
      </x:c>
      <x:c r="M9" s="770" t="n">
        <x:v>9</x:v>
      </x:c>
      <x:c r="N9" s="770" t="n">
        <x:v>3</x:v>
      </x:c>
      <x:c r="O9" s="770" t="n">
        <x:v>9</x:v>
      </x:c>
      <x:c r="P9" s="770" t="n">
        <x:v>8</x:v>
      </x:c>
      <x:c r="Q9" s="721" t="n">
        <x:f>G9*'AHP Weights'!$M$3+H9*'AHP Weights'!$M$4+I9*'AHP Weights'!$M$5+J9*'AHP Weights'!$M$6+K9*'AHP Weights'!$M$7+L9*'AHP Weights'!$M$8+M9*'AHP Weights'!$M$9+N9*'AHP Weights'!$M$10+O9*'AHP Weights'!$M$11+P9*'AHP Weights'!$M$12</x:f>
        <x:v>7.823827502555574</x:v>
      </x:c>
      <x:c r="R9" s="530" t="n">
        <x:f>ROUND((Q9-1)/8*100,6)</x:f>
        <x:v>85.297844</x:v>
      </x:c>
      <x:c r="S9" s="483" t="str">
        <x:v>1–11</x:v>
      </x:c>
      <x:c r="T9" s="529" t="str">
        <x:v>Broadest managed coverage of Discord, Telegram, passkeys, external wallets, SIWE/SIWS, and embedded wallets in one product.</x:v>
      </x:c>
      <x:c r="U9" s="529" t="str">
        <x:v>Strongest shortcut also creates the strongest risk of an external common-user object becoming the real identity authority.</x:v>
      </x:c>
      <x:c r="V9" s="529" t="str">
        <x:v>https://docs.privy.io/authentication/user-authentication/privy-auth</x:v>
      </x:c>
      <x:c r="W9" s="531" t="str">
        <x:v>https://docs.privy.io/wallets/overview/embedded</x:v>
      </x:c>
    </x:row>
    <x:row r="10" ht="58" customHeight="1">
      <x:c r="A10" s="528" t="n">
        <x:f>RANK(R10,$R$3:$R$25,0)</x:f>
        <x:v>8</x:v>
      </x:c>
      <x:c r="B10" s="529" t="str">
        <x:v>Dynamic</x:v>
      </x:c>
      <x:c r="C10" s="529" t="str">
        <x:v>Managed vendor</x:v>
      </x:c>
      <x:c r="D10" s="529" t="str">
        <x:v>TRANSITION benchmark — do not deepen SoR dependency</x:v>
      </x:c>
      <x:c r="E10" s="529" t="str">
        <x:v>Current / migration</x:v>
      </x:c>
      <x:c r="F10" s="529" t="str">
        <x:v>High</x:v>
      </x:c>
      <x:c r="G10" s="770" t="n">
        <x:v>9</x:v>
      </x:c>
      <x:c r="H10" s="770" t="n">
        <x:v>5</x:v>
      </x:c>
      <x:c r="I10" s="770" t="n">
        <x:v>8</x:v>
      </x:c>
      <x:c r="J10" s="770" t="n">
        <x:v>9</x:v>
      </x:c>
      <x:c r="K10" s="770" t="n">
        <x:v>8</x:v>
      </x:c>
      <x:c r="L10" s="770" t="n">
        <x:v>9</x:v>
      </x:c>
      <x:c r="M10" s="770" t="n">
        <x:v>9</x:v>
      </x:c>
      <x:c r="N10" s="770" t="n">
        <x:v>3</x:v>
      </x:c>
      <x:c r="O10" s="770" t="n">
        <x:v>9</x:v>
      </x:c>
      <x:c r="P10" s="770" t="n">
        <x:v>8</x:v>
      </x:c>
      <x:c r="Q10" s="721" t="n">
        <x:f>G10*'AHP Weights'!$M$3+H10*'AHP Weights'!$M$4+I10*'AHP Weights'!$M$5+J10*'AHP Weights'!$M$6+K10*'AHP Weights'!$M$7+L10*'AHP Weights'!$M$8+M10*'AHP Weights'!$M$9+N10*'AHP Weights'!$M$10+O10*'AHP Weights'!$M$11+P10*'AHP Weights'!$M$12</x:f>
        <x:v>7.692601853271887</x:v>
      </x:c>
      <x:c r="R10" s="530" t="n">
        <x:f>ROUND((Q10-1)/8*100,6)</x:f>
        <x:v>83.657523</x:v>
      </x:c>
      <x:c r="S10" s="483" t="str">
        <x:v>2–14</x:v>
      </x:c>
      <x:c r="T10" s="529" t="str">
        <x:v>Fast multi-wallet/social onboarding and existing ecosystem precedent; useful as a migration source or temporary credential provider.</x:v>
      </x:c>
      <x:c r="U10" s="529" t="str">
        <x:v>Conflicts with the ratified identity-api SoR direction if its user/session model remains canonical.</x:v>
      </x:c>
      <x:c r="V10" s="529" t="str">
        <x:v>https://github.com/0xHoneyJar/identity-api/blob/6908a76f45f1004d26f6b16309c15fc793f744db/grimoires/loa/2026-06-01-auth-decision-reconciled.md</x:v>
      </x:c>
      <x:c r="W10" s="531" t="str">
        <x:v>https://docs.dynamic.xyz/headless/headless-wallet-management</x:v>
      </x:c>
    </x:row>
    <x:row r="11" ht="58" customHeight="1">
      <x:c r="A11" s="528" t="n">
        <x:f>RANK(R11,$R$3:$R$25,0)</x:f>
        <x:v>9</x:v>
      </x:c>
      <x:c r="B11" s="529" t="str">
        <x:v>Reown SIWX + One-Click Auth</x:v>
      </x:c>
      <x:c r="C11" s="529" t="str">
        <x:v>Wallet UX</x:v>
      </x:c>
      <x:c r="D11" s="529" t="str">
        <x:v>ADOPT — preferred wallet transport</x:v>
      </x:c>
      <x:c r="E11" s="529" t="str">
        <x:v>P0</x:v>
      </x:c>
      <x:c r="F11" s="529" t="str">
        <x:v>High</x:v>
      </x:c>
      <x:c r="G11" s="770" t="n">
        <x:v>7</x:v>
      </x:c>
      <x:c r="H11" s="770" t="n">
        <x:v>8</x:v>
      </x:c>
      <x:c r="I11" s="770" t="n">
        <x:v>8</x:v>
      </x:c>
      <x:c r="J11" s="770" t="n">
        <x:v>9</x:v>
      </x:c>
      <x:c r="K11" s="770" t="n">
        <x:v>8</x:v>
      </x:c>
      <x:c r="L11" s="770" t="n">
        <x:v>8</x:v>
      </x:c>
      <x:c r="M11" s="770" t="n">
        <x:v>8</x:v>
      </x:c>
      <x:c r="N11" s="770" t="n">
        <x:v>6</x:v>
      </x:c>
      <x:c r="O11" s="770" t="n">
        <x:v>6</x:v>
      </x:c>
      <x:c r="P11" s="770" t="n">
        <x:v>7</x:v>
      </x:c>
      <x:c r="Q11" s="721" t="n">
        <x:f>G11*'AHP Weights'!$M$3+H11*'AHP Weights'!$M$4+I11*'AHP Weights'!$M$5+J11*'AHP Weights'!$M$6+K11*'AHP Weights'!$M$7+L11*'AHP Weights'!$M$8+M11*'AHP Weights'!$M$9+N11*'AHP Weights'!$M$10+O11*'AHP Weights'!$M$11+P11*'AHP Weights'!$M$12</x:f>
        <x:v>7.683738657827276</x:v>
      </x:c>
      <x:c r="R11" s="530" t="n">
        <x:f>ROUND((Q11-1)/8*100,6)</x:f>
        <x:v>83.546733</x:v>
      </x:c>
      <x:c r="S11" s="483" t="str">
        <x:v>8–9</x:v>
      </x:c>
      <x:c r="T11" s="529" t="str">
        <x:v>Pragmatic way to reduce wallet connector approvals while keeping identity-api as nonce, verifier, user, and session authority.</x:v>
      </x:c>
      <x:c r="U11" s="529" t="str">
        <x:v>One-Click Auth coverage is capability- and wallet-dependent; the practical implementation is strongest on EVM, so legacy and non-EVM fallbacks remain necessary.</x:v>
      </x:c>
      <x:c r="V11" s="529" t="str">
        <x:v>https://docs.reown.com/appkit/authentication/one-click-auth</x:v>
      </x:c>
      <x:c r="W11" s="531" t="str">
        <x:v>https://docs.reown.com/appkit/react-native/core/siwx</x:v>
      </x:c>
    </x:row>
    <x:row r="12" ht="58" customHeight="1">
      <x:c r="A12" s="528" t="n">
        <x:f>RANK(R12,$R$3:$R$25,0)</x:f>
        <x:v>10</x:v>
      </x:c>
      <x:c r="B12" s="529" t="str">
        <x:v>Better Auth as credential-adapter plane</x:v>
      </x:c>
      <x:c r="C12" s="529" t="str">
        <x:v>Foundation</x:v>
      </x:c>
      <x:c r="D12" s="529" t="str">
        <x:v>ADOPT narrowly — never SoR/issuer</x:v>
      </x:c>
      <x:c r="E12" s="529" t="str">
        <x:v>P1</x:v>
      </x:c>
      <x:c r="F12" s="529" t="str">
        <x:v>High</x:v>
      </x:c>
      <x:c r="G12" s="770" t="n">
        <x:v>8</x:v>
      </x:c>
      <x:c r="H12" s="770" t="n">
        <x:v>8</x:v>
      </x:c>
      <x:c r="I12" s="770" t="n">
        <x:v>8</x:v>
      </x:c>
      <x:c r="J12" s="770" t="n">
        <x:v>8</x:v>
      </x:c>
      <x:c r="K12" s="770" t="n">
        <x:v>7</x:v>
      </x:c>
      <x:c r="L12" s="770" t="n">
        <x:v>7</x:v>
      </x:c>
      <x:c r="M12" s="770" t="n">
        <x:v>7</x:v>
      </x:c>
      <x:c r="N12" s="770" t="n">
        <x:v>8</x:v>
      </x:c>
      <x:c r="O12" s="770" t="n">
        <x:v>8</x:v>
      </x:c>
      <x:c r="P12" s="770" t="n">
        <x:v>6</x:v>
      </x:c>
      <x:c r="Q12" s="721" t="n">
        <x:f>G12*'AHP Weights'!$M$3+H12*'AHP Weights'!$M$4+I12*'AHP Weights'!$M$5+J12*'AHP Weights'!$M$6+K12*'AHP Weights'!$M$7+L12*'AHP Weights'!$M$8+M12*'AHP Weights'!$M$9+N12*'AHP Weights'!$M$10+O12*'AHP Weights'!$M$11+P12*'AHP Weights'!$M$12</x:f>
        <x:v>7.67224833660482</x:v>
      </x:c>
      <x:c r="R12" s="530" t="n">
        <x:f>ROUND((Q12-1)/8*100,6)</x:f>
        <x:v>83.403104</x:v>
      </x:c>
      <x:c r="S12" s="483" t="str">
        <x:v>6–12</x:v>
      </x:c>
      <x:c r="T12" s="529" t="str">
        <x:v>Useful implementation substrate for OIDC/social/passkey UX behind identity-api's CredentialBridge and proof-normalization contract.</x:v>
      </x:c>
      <x:c r="U12" s="529" t="str">
        <x:v>Its native user/account/session model must not silently become the canonical identity plane already owned by identity-api.</x:v>
      </x:c>
      <x:c r="V12" s="529" t="str">
        <x:v>https://github.com/0xHoneyJar/identity-api/blob/6908a76f45f1004d26f6b16309c15fc793f744db/grimoires/loa/2026-06-01-auth-decision-reconciled.md</x:v>
      </x:c>
      <x:c r="W12" s="531" t="str">
        <x:v>https://www.better-auth.com/docs/plugins/generic-oauth</x:v>
      </x:c>
    </x:row>
    <x:row r="13" ht="58" customHeight="1">
      <x:c r="A13" s="528" t="n">
        <x:f>RANK(R13,$R$3:$R$25,0)</x:f>
        <x:v>11</x:v>
      </x:c>
      <x:c r="B13" s="529" t="str">
        <x:v>MetaMask Embedded Wallets/Web3Auth</x:v>
      </x:c>
      <x:c r="C13" s="529" t="str">
        <x:v>Managed vendor</x:v>
      </x:c>
      <x:c r="D13" s="529" t="str">
        <x:v>CONDITIONAL — BYO JWT + embedded wallet</x:v>
      </x:c>
      <x:c r="E13" s="529" t="str">
        <x:v>Conditional</x:v>
      </x:c>
      <x:c r="F13" s="529" t="str">
        <x:v>High-medium</x:v>
      </x:c>
      <x:c r="G13" s="770" t="n">
        <x:v>7</x:v>
      </x:c>
      <x:c r="H13" s="770" t="n">
        <x:v>6</x:v>
      </x:c>
      <x:c r="I13" s="770" t="n">
        <x:v>9</x:v>
      </x:c>
      <x:c r="J13" s="770" t="n">
        <x:v>9</x:v>
      </x:c>
      <x:c r="K13" s="770" t="n">
        <x:v>8</x:v>
      </x:c>
      <x:c r="L13" s="770" t="n">
        <x:v>8</x:v>
      </x:c>
      <x:c r="M13" s="770" t="n">
        <x:v>8</x:v>
      </x:c>
      <x:c r="N13" s="770" t="n">
        <x:v>4</x:v>
      </x:c>
      <x:c r="O13" s="770" t="n">
        <x:v>8</x:v>
      </x:c>
      <x:c r="P13" s="770" t="n">
        <x:v>7</x:v>
      </x:c>
      <x:c r="Q13" s="721" t="n">
        <x:f>G13*'AHP Weights'!$M$3+H13*'AHP Weights'!$M$4+I13*'AHP Weights'!$M$5+J13*'AHP Weights'!$M$6+K13*'AHP Weights'!$M$7+L13*'AHP Weights'!$M$8+M13*'AHP Weights'!$M$9+N13*'AHP Weights'!$M$10+O13*'AHP Weights'!$M$11+P13*'AHP Weights'!$M$12</x:f>
        <x:v>7.497292185725913</x:v>
      </x:c>
      <x:c r="R13" s="530" t="n">
        <x:f>ROUND((Q13-1)/8*100,6)</x:f>
        <x:v>81.216152</x:v>
      </x:c>
      <x:c r="S13" s="483" t="str">
        <x:v>6–13</x:v>
      </x:c>
      <x:c r="T13" s="529" t="str">
        <x:v>Broad chain support, Discord OAuth, external wallets, and custom JWT/OIDC make it compatible with identity-api as upstream identity.</x:v>
      </x:c>
      <x:c r="U13" s="529" t="str">
        <x:v>Telegram still needs a separate adapter and the threshold-key network becomes another critical dependency.</x:v>
      </x:c>
      <x:c r="V13" s="529" t="str">
        <x:v>https://docs.metamask.io/embedded-wallets/authentication/</x:v>
      </x:c>
      <x:c r="W13" s="531" t="str">
        <x:v>https://docs.metamask.io/embedded-wallets/architecture/</x:v>
      </x:c>
    </x:row>
    <x:row r="14" ht="58" customHeight="1">
      <x:c r="A14" s="528" t="n">
        <x:f>RANK(R14,$R$3:$R$25,0)</x:f>
        <x:v>12</x:v>
      </x:c>
      <x:c r="B14" s="529" t="str">
        <x:v>Coinbase CDP Embedded Wallets</x:v>
      </x:c>
      <x:c r="C14" s="529" t="str">
        <x:v>Managed vendor</x:v>
      </x:c>
      <x:c r="D14" s="529" t="str">
        <x:v>CONDITIONAL — Telegram + wallet-centric products</x:v>
      </x:c>
      <x:c r="E14" s="529" t="str">
        <x:v>Conditional</x:v>
      </x:c>
      <x:c r="F14" s="529" t="str">
        <x:v>High-medium</x:v>
      </x:c>
      <x:c r="G14" s="770" t="n">
        <x:v>8</x:v>
      </x:c>
      <x:c r="H14" s="770" t="n">
        <x:v>6</x:v>
      </x:c>
      <x:c r="I14" s="770" t="n">
        <x:v>8</x:v>
      </x:c>
      <x:c r="J14" s="770" t="n">
        <x:v>9</x:v>
      </x:c>
      <x:c r="K14" s="770" t="n">
        <x:v>8</x:v>
      </x:c>
      <x:c r="L14" s="770" t="n">
        <x:v>8</x:v>
      </x:c>
      <x:c r="M14" s="770" t="n">
        <x:v>8</x:v>
      </x:c>
      <x:c r="N14" s="770" t="n">
        <x:v>3</x:v>
      </x:c>
      <x:c r="O14" s="770" t="n">
        <x:v>8</x:v>
      </x:c>
      <x:c r="P14" s="770" t="n">
        <x:v>7</x:v>
      </x:c>
      <x:c r="Q14" s="721" t="n">
        <x:f>G14*'AHP Weights'!$M$3+H14*'AHP Weights'!$M$4+I14*'AHP Weights'!$M$5+J14*'AHP Weights'!$M$6+K14*'AHP Weights'!$M$7+L14*'AHP Weights'!$M$8+M14*'AHP Weights'!$M$9+N14*'AHP Weights'!$M$10+O14*'AHP Weights'!$M$11+P14*'AHP Weights'!$M$12</x:f>
        <x:v>7.466218842174977</x:v>
      </x:c>
      <x:c r="R14" s="530" t="n">
        <x:f>ROUND((Q14-1)/8*100,6)</x:f>
        <x:v>80.827736</x:v>
      </x:c>
      <x:c r="S14" s="483" t="str">
        <x:v>3–16</x:v>
      </x:c>
      <x:c r="T14" s="529" t="str">
        <x:v>Strong Telegram, SIWE, OTP/social, device binding, and auth-method linking for embedded-wallet products.</x:v>
      </x:c>
      <x:c r="U14" s="529" t="str">
        <x:v>No comparable native Discord emphasis in the current product surface and a wallet-account model that can compete with identity-api.</x:v>
      </x:c>
      <x:c r="V14" s="529" t="str">
        <x:v>https://docs.cdp.coinbase.com/wallets/authentication/overview</x:v>
      </x:c>
      <x:c r="W14" s="531" t="str">
        <x:v>https://docs.cdp.coinbase.com/wallets/authentication/auth-method-linking</x:v>
      </x:c>
    </x:row>
    <x:row r="15" ht="58" customHeight="1">
      <x:c r="A15" s="528" t="n">
        <x:f>RANK(R15,$R$3:$R$25,0)</x:f>
        <x:v>13</x:v>
      </x:c>
      <x:c r="B15" s="529" t="str">
        <x:v>CAIP-122 SIWx + CAIP-196 CACAO</x:v>
      </x:c>
      <x:c r="C15" s="529" t="str">
        <x:v>Wallet standard</x:v>
      </x:c>
      <x:c r="D15" s="529" t="str">
        <x:v>ADOPT as internal proof vocabulary</x:v>
      </x:c>
      <x:c r="E15" s="529" t="str">
        <x:v>P0 design / P1 runtime</x:v>
      </x:c>
      <x:c r="F15" s="529" t="str">
        <x:v>Medium</x:v>
      </x:c>
      <x:c r="G15" s="770" t="n">
        <x:v>7</x:v>
      </x:c>
      <x:c r="H15" s="770" t="n">
        <x:v>9</x:v>
      </x:c>
      <x:c r="I15" s="770" t="n">
        <x:v>9</x:v>
      </x:c>
      <x:c r="J15" s="770" t="n">
        <x:v>7</x:v>
      </x:c>
      <x:c r="K15" s="770" t="n">
        <x:v>8</x:v>
      </x:c>
      <x:c r="L15" s="770" t="n">
        <x:v>6</x:v>
      </x:c>
      <x:c r="M15" s="770" t="n">
        <x:v>5</x:v>
      </x:c>
      <x:c r="N15" s="770" t="n">
        <x:v>9</x:v>
      </x:c>
      <x:c r="O15" s="770" t="n">
        <x:v>4</x:v>
      </x:c>
      <x:c r="P15" s="770" t="n">
        <x:v>5</x:v>
      </x:c>
      <x:c r="Q15" s="721" t="n">
        <x:f>G15*'AHP Weights'!$M$3+H15*'AHP Weights'!$M$4+I15*'AHP Weights'!$M$5+J15*'AHP Weights'!$M$6+K15*'AHP Weights'!$M$7+L15*'AHP Weights'!$M$8+M15*'AHP Weights'!$M$9+N15*'AHP Weights'!$M$10+O15*'AHP Weights'!$M$11+P15*'AHP Weights'!$M$12</x:f>
        <x:v>7.390287215790664</x:v>
      </x:c>
      <x:c r="R15" s="530" t="n">
        <x:f>ROUND((Q15-1)/8*100,6)</x:f>
        <x:v>79.87859</x:v>
      </x:c>
      <x:c r="S15" s="483" t="str">
        <x:v>7–16</x:v>
      </x:c>
      <x:c r="T15" s="529" t="str">
        <x:v>Best fit for chain-neutral account identifiers and a provider-neutral signed-proof envelope inside identity-api.</x:v>
      </x:c>
      <x:c r="U15" s="529" t="str">
        <x:v>The standards are not themselves a wallet transport or turnkey UX and remain less deployed than SIWE.</x:v>
      </x:c>
      <x:c r="V15" s="529" t="str">
        <x:v>https://standards.chainagnostic.org/CAIPs/caip-122</x:v>
      </x:c>
      <x:c r="W15" s="531" t="str">
        <x:v>https://standards.chainagnostic.org/CAIPs/caip-196</x:v>
      </x:c>
    </x:row>
    <x:row r="16" ht="58" customHeight="1">
      <x:c r="A16" s="528" t="n">
        <x:f>RANK(R16,$R$3:$R$25,0)</x:f>
        <x:v>14</x:v>
      </x:c>
      <x:c r="B16" s="529" t="str">
        <x:v>thirdweb In-App Wallets</x:v>
      </x:c>
      <x:c r="C16" s="529" t="str">
        <x:v>Managed vendor</x:v>
      </x:c>
      <x:c r="D16" s="529" t="str">
        <x:v>CONDITIONAL — app-specific acceleration</x:v>
      </x:c>
      <x:c r="E16" s="529" t="str">
        <x:v>Conditional</x:v>
      </x:c>
      <x:c r="F16" s="529" t="str">
        <x:v>Medium-high</x:v>
      </x:c>
      <x:c r="G16" s="770" t="n">
        <x:v>7</x:v>
      </x:c>
      <x:c r="H16" s="770" t="n">
        <x:v>5</x:v>
      </x:c>
      <x:c r="I16" s="770" t="n">
        <x:v>8</x:v>
      </x:c>
      <x:c r="J16" s="770" t="n">
        <x:v>9</x:v>
      </x:c>
      <x:c r="K16" s="770" t="n">
        <x:v>7</x:v>
      </x:c>
      <x:c r="L16" s="770" t="n">
        <x:v>8</x:v>
      </x:c>
      <x:c r="M16" s="770" t="n">
        <x:v>9</x:v>
      </x:c>
      <x:c r="N16" s="770" t="n">
        <x:v>3</x:v>
      </x:c>
      <x:c r="O16" s="770" t="n">
        <x:v>8</x:v>
      </x:c>
      <x:c r="P16" s="770" t="n">
        <x:v>8</x:v>
      </x:c>
      <x:c r="Q16" s="721" t="n">
        <x:f>G16*'AHP Weights'!$M$3+H16*'AHP Weights'!$M$4+I16*'AHP Weights'!$M$5+J16*'AHP Weights'!$M$6+K16*'AHP Weights'!$M$7+L16*'AHP Weights'!$M$8+M16*'AHP Weights'!$M$9+N16*'AHP Weights'!$M$10+O16*'AHP Weights'!$M$11+P16*'AHP Weights'!$M$12</x:f>
        <x:v>7.11199991385478</x:v>
      </x:c>
      <x:c r="R16" s="530" t="n">
        <x:f>ROUND((Q16-1)/8*100,6)</x:f>
        <x:v>76.399999</x:v>
      </x:c>
      <x:c r="S16" s="483" t="str">
        <x:v>4–20</x:v>
      </x:c>
      <x:c r="T16" s="529" t="str">
        <x:v>Fast social/passkey/Discord and embedded-wallet onboarding with strong transaction abstractions.</x:v>
      </x:c>
      <x:c r="U16" s="529" t="str">
        <x:v>No first-class Telegram fit in the reviewed surface and a broad product footprint that can increase lock-in.</x:v>
      </x:c>
      <x:c r="V16" s="529" t="str">
        <x:v>https://thirdweb.com/wallets</x:v>
      </x:c>
      <x:c r="W16" s="531" t="str">
        <x:v>https://datatracker.ietf.org/doc/rfc9700/</x:v>
      </x:c>
    </x:row>
    <x:row r="17" ht="58" customHeight="1">
      <x:c r="A17" s="528" t="n">
        <x:f>RANK(R17,$R$3:$R$25,0)</x:f>
        <x:v>15</x:v>
      </x:c>
      <x:c r="B17" s="529" t="str">
        <x:v>CAIP-222 wallet_authenticate</x:v>
      </x:c>
      <x:c r="C17" s="529" t="str">
        <x:v>Emerging wallet</x:v>
      </x:c>
      <x:c r="D17" s="529" t="str">
        <x:v>PILOT behind capability detection</x:v>
      </x:c>
      <x:c r="E17" s="529" t="str">
        <x:v>P1 / watch</x:v>
      </x:c>
      <x:c r="F17" s="529" t="str">
        <x:v>Medium-low</x:v>
      </x:c>
      <x:c r="G17" s="770" t="n">
        <x:v>7</x:v>
      </x:c>
      <x:c r="H17" s="770" t="n">
        <x:v>8</x:v>
      </x:c>
      <x:c r="I17" s="770" t="n">
        <x:v>9</x:v>
      </x:c>
      <x:c r="J17" s="770" t="n">
        <x:v>9</x:v>
      </x:c>
      <x:c r="K17" s="770" t="n">
        <x:v>7</x:v>
      </x:c>
      <x:c r="L17" s="770" t="n">
        <x:v>3</x:v>
      </x:c>
      <x:c r="M17" s="770" t="n">
        <x:v>3</x:v>
      </x:c>
      <x:c r="N17" s="770" t="n">
        <x:v>9</x:v>
      </x:c>
      <x:c r="O17" s="770" t="n">
        <x:v>5</x:v>
      </x:c>
      <x:c r="P17" s="770" t="n">
        <x:v>4</x:v>
      </x:c>
      <x:c r="Q17" s="721" t="n">
        <x:f>G17*'AHP Weights'!$M$3+H17*'AHP Weights'!$M$4+I17*'AHP Weights'!$M$5+J17*'AHP Weights'!$M$6+K17*'AHP Weights'!$M$7+L17*'AHP Weights'!$M$8+M17*'AHP Weights'!$M$9+N17*'AHP Weights'!$M$10+O17*'AHP Weights'!$M$11+P17*'AHP Weights'!$M$12</x:f>
        <x:v>7.077610038325144</x:v>
      </x:c>
      <x:c r="R17" s="530" t="n">
        <x:f>ROUND((Q17-1)/8*100,6)</x:f>
        <x:v>75.970125</x:v>
      </x:c>
      <x:c r="S17" s="483" t="str">
        <x:v>10–19</x:v>
      </x:c>
      <x:c r="T17" s="529" t="str">
        <x:v>Architecturally closest chain-neutral answer to authenticating before an account has been separately exposed.</x:v>
      </x:c>
      <x:c r="U17" s="529" t="str">
        <x:v>Excellent interface shape but insufficient broad wallet support for a production baseline.</x:v>
      </x:c>
      <x:c r="V17" s="529" t="str">
        <x:v>https://standards.chainagnostic.org/CAIPs/caip-222</x:v>
      </x:c>
      <x:c r="W17" s="531" t="str">
        <x:v>https://standards.chainagnostic.org/CAIPs/caip-122</x:v>
      </x:c>
    </x:row>
    <x:row r="18" ht="58" customHeight="1">
      <x:c r="A18" s="528" t="n">
        <x:f>RANK(R18,$R$3:$R$25,0)</x:f>
        <x:v>16</x:v>
      </x:c>
      <x:c r="B18" s="529" t="str">
        <x:v>Turnkey</x:v>
      </x:c>
      <x:c r="C18" s="529" t="str">
        <x:v>Managed vendor</x:v>
      </x:c>
      <x:c r="D18" s="529" t="str">
        <x:v>CONDITIONAL — wallet/key infrastructure only</x:v>
      </x:c>
      <x:c r="E18" s="529" t="str">
        <x:v>P2 / product-specific</x:v>
      </x:c>
      <x:c r="F18" s="529" t="str">
        <x:v>High</x:v>
      </x:c>
      <x:c r="G18" s="770" t="n">
        <x:v>5</x:v>
      </x:c>
      <x:c r="H18" s="770" t="n">
        <x:v>7</x:v>
      </x:c>
      <x:c r="I18" s="770" t="n">
        <x:v>8</x:v>
      </x:c>
      <x:c r="J18" s="770" t="n">
        <x:v>8</x:v>
      </x:c>
      <x:c r="K18" s="770" t="n">
        <x:v>9</x:v>
      </x:c>
      <x:c r="L18" s="770" t="n">
        <x:v>8</x:v>
      </x:c>
      <x:c r="M18" s="770" t="n">
        <x:v>6</x:v>
      </x:c>
      <x:c r="N18" s="770" t="n">
        <x:v>5</x:v>
      </x:c>
      <x:c r="O18" s="770" t="n">
        <x:v>7</x:v>
      </x:c>
      <x:c r="P18" s="770" t="n">
        <x:v>5</x:v>
      </x:c>
      <x:c r="Q18" s="721" t="n">
        <x:f>G18*'AHP Weights'!$M$3+H18*'AHP Weights'!$M$4+I18*'AHP Weights'!$M$5+J18*'AHP Weights'!$M$6+K18*'AHP Weights'!$M$7+L18*'AHP Weights'!$M$8+M18*'AHP Weights'!$M$9+N18*'AHP Weights'!$M$10+O18*'AHP Weights'!$M$11+P18*'AHP Weights'!$M$12</x:f>
        <x:v>7.003536132223794</x:v>
      </x:c>
      <x:c r="R18" s="530" t="n">
        <x:f>ROUND((Q18-1)/8*100,6)</x:f>
        <x:v>75.044202</x:v>
      </x:c>
      <x:c r="S18" s="483" t="str">
        <x:v>14–16</x:v>
      </x:c>
      <x:c r="T18" s="529" t="str">
        <x:v>Strongest managed security/policy option when identity-api needs downstream embedded wallets or agent wallets without outsourcing identity.</x:v>
      </x:c>
      <x:c r="U18" s="529" t="str">
        <x:v>Does not solve Discord/Telegram linking by itself and introduces enclave, sub-organization, policy, and vendor operating models.</x:v>
      </x:c>
      <x:c r="V18" s="529" t="str">
        <x:v>https://docs.turnkey.com/solutions/embedded-wallets/overview</x:v>
      </x:c>
      <x:c r="W18" s="531" t="str">
        <x:v>https://www.w3.org/TR/webauthn-3/</x:v>
      </x:c>
    </x:row>
    <x:row r="19" ht="58" customHeight="1">
      <x:c r="A19" s="528" t="n">
        <x:f>RANK(R19,$R$3:$R$25,0)</x:f>
        <x:v>17</x:v>
      </x:c>
      <x:c r="B19" s="529" t="str">
        <x:v>Keycloak/Ory external OIDC broker</x:v>
      </x:c>
      <x:c r="C19" s="529" t="str">
        <x:v>Foundation</x:v>
      </x:c>
      <x:c r="D19" s="529" t="str">
        <x:v>CONTINGENCY — enterprise federation</x:v>
      </x:c>
      <x:c r="E19" s="529" t="str">
        <x:v>Later / conditional</x:v>
      </x:c>
      <x:c r="F19" s="529" t="str">
        <x:v>Medium</x:v>
      </x:c>
      <x:c r="G19" s="770" t="n">
        <x:v>6</x:v>
      </x:c>
      <x:c r="H19" s="770" t="n">
        <x:v>6</x:v>
      </x:c>
      <x:c r="I19" s="770" t="n">
        <x:v>9</x:v>
      </x:c>
      <x:c r="J19" s="770" t="n">
        <x:v>6</x:v>
      </x:c>
      <x:c r="K19" s="770" t="n">
        <x:v>8</x:v>
      </x:c>
      <x:c r="L19" s="770" t="n">
        <x:v>9</x:v>
      </x:c>
      <x:c r="M19" s="770" t="n">
        <x:v>4</x:v>
      </x:c>
      <x:c r="N19" s="770" t="n">
        <x:v>8</x:v>
      </x:c>
      <x:c r="O19" s="770" t="n">
        <x:v>9</x:v>
      </x:c>
      <x:c r="P19" s="770" t="n">
        <x:v>4</x:v>
      </x:c>
      <x:c r="Q19" s="721" t="n">
        <x:f>G19*'AHP Weights'!$M$3+H19*'AHP Weights'!$M$4+I19*'AHP Weights'!$M$5+J19*'AHP Weights'!$M$6+K19*'AHP Weights'!$M$7+L19*'AHP Weights'!$M$8+M19*'AHP Weights'!$M$9+N19*'AHP Weights'!$M$10+O19*'AHP Weights'!$M$11+P19*'AHP Weights'!$M$12</x:f>
        <x:v>6.957745589642771</x:v>
      </x:c>
      <x:c r="R19" s="530" t="n">
        <x:f>ROUND((Q19-1)/8*100,6)</x:f>
        <x:v>74.47182</x:v>
      </x:c>
      <x:c r="S19" s="483" t="str">
        <x:v>8–17</x:v>
      </x:c>
      <x:c r="T19" s="529" t="str">
        <x:v>Mature standards broker if external enterprise IdPs, workforce federation, or policy administration become dominant requirements.</x:v>
      </x:c>
      <x:c r="U19" s="529" t="str">
        <x:v>Adds another stateful identity runtime and still leaves wallet/chat-specific linking semantics to identity-api.</x:v>
      </x:c>
      <x:c r="V19" s="529" t="str">
        <x:v>https://www.keycloak.org/documentation</x:v>
      </x:c>
      <x:c r="W19" s="531" t="str">
        <x:v>https://www.ory.sh/docs</x:v>
      </x:c>
    </x:row>
    <x:row r="20" ht="58" customHeight="1">
      <x:c r="A20" s="528" t="n">
        <x:f>RANK(R20,$R$3:$R$25,0)</x:f>
        <x:v>18</x:v>
      </x:c>
      <x:c r="B20" s="529" t="str">
        <x:v>WalletConnect Identity Keys + ReCaps</x:v>
      </x:c>
      <x:c r="C20" s="529" t="str">
        <x:v>Delegated wallet</x:v>
      </x:c>
      <x:c r="D20" s="529" t="str">
        <x:v>PILOT only when repeated delegation is needed</x:v>
      </x:c>
      <x:c r="E20" s="529" t="str">
        <x:v>P2 / demand-driven</x:v>
      </x:c>
      <x:c r="F20" s="529" t="str">
        <x:v>Medium</x:v>
      </x:c>
      <x:c r="G20" s="770" t="n">
        <x:v>5</x:v>
      </x:c>
      <x:c r="H20" s="770" t="n">
        <x:v>8</x:v>
      </x:c>
      <x:c r="I20" s="770" t="n">
        <x:v>8</x:v>
      </x:c>
      <x:c r="J20" s="770" t="n">
        <x:v>9</x:v>
      </x:c>
      <x:c r="K20" s="770" t="n">
        <x:v>7</x:v>
      </x:c>
      <x:c r="L20" s="770" t="n">
        <x:v>4</x:v>
      </x:c>
      <x:c r="M20" s="770" t="n">
        <x:v>3</x:v>
      </x:c>
      <x:c r="N20" s="770" t="n">
        <x:v>7</x:v>
      </x:c>
      <x:c r="O20" s="770" t="n">
        <x:v>8</x:v>
      </x:c>
      <x:c r="P20" s="770" t="n">
        <x:v>3</x:v>
      </x:c>
      <x:c r="Q20" s="721" t="n">
        <x:f>G20*'AHP Weights'!$M$3+H20*'AHP Weights'!$M$4+I20*'AHP Weights'!$M$5+J20*'AHP Weights'!$M$6+K20*'AHP Weights'!$M$7+L20*'AHP Weights'!$M$8+M20*'AHP Weights'!$M$9+N20*'AHP Weights'!$M$10+O20*'AHP Weights'!$M$11+P20*'AHP Weights'!$M$12</x:f>
        <x:v>6.710084690187182</x:v>
      </x:c>
      <x:c r="R20" s="530" t="n">
        <x:f>ROUND((Q20-1)/8*100,6)</x:f>
        <x:v>71.376059</x:v>
      </x:c>
      <x:c r="S20" s="483" t="str">
        <x:v>17–20</x:v>
      </x:c>
      <x:c r="T20" s="529" t="str">
        <x:v>Can authorize a device/account-specific identity key and scoped capabilities, reducing repeated wallet-key prompts for advanced flows.</x:v>
      </x:c>
      <x:c r="U20" s="529" t="str">
        <x:v>Material protocol, key-lifecycle, revocation, and policy complexity before a concrete delegated-action use case exists.</x:v>
      </x:c>
      <x:c r="V20" s="529" t="str">
        <x:v>https://specs.walletconnect.com/2.0/specs/clients/core/identity/identity-keys</x:v>
      </x:c>
      <x:c r="W20" s="531" t="str">
        <x:v>https://specs.walletconnect.com/2.0/specs/clients/sign/wallet-authentication</x:v>
      </x:c>
    </x:row>
    <x:row r="21" ht="58" customHeight="1">
      <x:c r="A21" s="528" t="n">
        <x:f>RANK(R21,$R$3:$R$25,0)</x:f>
        <x:v>19</x:v>
      </x:c>
      <x:c r="B21" s="529" t="str">
        <x:v>Legacy SIWE + connector orchestration</x:v>
      </x:c>
      <x:c r="C21" s="529" t="str">
        <x:v>Wallet fallback</x:v>
      </x:c>
      <x:c r="D21" s="529" t="str">
        <x:v>RETAIN as universal EVM fallback</x:v>
      </x:c>
      <x:c r="E21" s="529" t="str">
        <x:v>P0</x:v>
      </x:c>
      <x:c r="F21" s="529" t="str">
        <x:v>High</x:v>
      </x:c>
      <x:c r="G21" s="770" t="n">
        <x:v>6</x:v>
      </x:c>
      <x:c r="H21" s="770" t="n">
        <x:v>8</x:v>
      </x:c>
      <x:c r="I21" s="770" t="n">
        <x:v>3</x:v>
      </x:c>
      <x:c r="J21" s="770" t="n">
        <x:v>5</x:v>
      </x:c>
      <x:c r="K21" s="770" t="n">
        <x:v>8</x:v>
      </x:c>
      <x:c r="L21" s="770" t="n">
        <x:v>9</x:v>
      </x:c>
      <x:c r="M21" s="770" t="n">
        <x:v>9</x:v>
      </x:c>
      <x:c r="N21" s="770" t="n">
        <x:v>9</x:v>
      </x:c>
      <x:c r="O21" s="770" t="n">
        <x:v>4</x:v>
      </x:c>
      <x:c r="P21" s="770" t="n">
        <x:v>7</x:v>
      </x:c>
      <x:c r="Q21" s="721" t="n">
        <x:f>G21*'AHP Weights'!$M$3+H21*'AHP Weights'!$M$4+I21*'AHP Weights'!$M$5+J21*'AHP Weights'!$M$6+K21*'AHP Weights'!$M$7+L21*'AHP Weights'!$M$8+M21*'AHP Weights'!$M$9+N21*'AHP Weights'!$M$10+O21*'AHP Weights'!$M$11+P21*'AHP Weights'!$M$12</x:f>
        <x:v>6.527091347875292</x:v>
      </x:c>
      <x:c r="R21" s="530" t="n">
        <x:f>ROUND((Q21-1)/8*100,6)</x:f>
        <x:v>69.088642</x:v>
      </x:c>
      <x:c r="S21" s="483" t="str">
        <x:v>16–20</x:v>
      </x:c>
      <x:c r="T21" s="529" t="str">
        <x:v>Reliable fallback for wallets that lack combined authentication and for existing consumers already built around SIWE.</x:v>
      </x:c>
      <x:c r="U21" s="529" t="str">
        <x:v>EVM-specific and usually retains separate connect and sign wallet approvals on first use.</x:v>
      </x:c>
      <x:c r="V21" s="529" t="str">
        <x:v>https://eips.ethereum.org/EIPS/eip-4361</x:v>
      </x:c>
      <x:c r="W21" s="531" t="str">
        <x:v>https://datatracker.ietf.org/doc/rfc9700/</x:v>
      </x:c>
    </x:row>
    <x:row r="22" ht="58" customHeight="1">
      <x:c r="A22" s="528" t="n">
        <x:f>RANK(R22,$R$3:$R$25,0)</x:f>
        <x:v>20</x:v>
      </x:c>
      <x:c r="B22" s="529" t="str">
        <x:v>Base Account</x:v>
      </x:c>
      <x:c r="C22" s="529" t="str">
        <x:v>Managed vendor</x:v>
      </x:c>
      <x:c r="D22" s="529" t="str">
        <x:v>OPTIONAL EVM lane — not platform default</x:v>
      </x:c>
      <x:c r="E22" s="529" t="str">
        <x:v>Product-specific</x:v>
      </x:c>
      <x:c r="F22" s="529" t="str">
        <x:v>High-medium</x:v>
      </x:c>
      <x:c r="G22" s="770" t="n">
        <x:v>4</x:v>
      </x:c>
      <x:c r="H22" s="770" t="n">
        <x:v>5</x:v>
      </x:c>
      <x:c r="I22" s="770" t="n">
        <x:v>4</x:v>
      </x:c>
      <x:c r="J22" s="770" t="n">
        <x:v>9</x:v>
      </x:c>
      <x:c r="K22" s="770" t="n">
        <x:v>9</x:v>
      </x:c>
      <x:c r="L22" s="770" t="n">
        <x:v>7</x:v>
      </x:c>
      <x:c r="M22" s="770" t="n">
        <x:v>8</x:v>
      </x:c>
      <x:c r="N22" s="770" t="n">
        <x:v>4</x:v>
      </x:c>
      <x:c r="O22" s="770" t="n">
        <x:v>9</x:v>
      </x:c>
      <x:c r="P22" s="770" t="n">
        <x:v>8</x:v>
      </x:c>
      <x:c r="Q22" s="721" t="n">
        <x:f>G22*'AHP Weights'!$M$3+H22*'AHP Weights'!$M$4+I22*'AHP Weights'!$M$5+J22*'AHP Weights'!$M$6+K22*'AHP Weights'!$M$7+L22*'AHP Weights'!$M$8+M22*'AHP Weights'!$M$9+N22*'AHP Weights'!$M$10+O22*'AHP Weights'!$M$11+P22*'AHP Weights'!$M$12</x:f>
        <x:v>6.362287939088213</x:v>
      </x:c>
      <x:c r="R22" s="530" t="n">
        <x:f>ROUND((Q22-1)/8*100,6)</x:f>
        <x:v>67.028599</x:v>
      </x:c>
      <x:c r="S22" s="483" t="str">
        <x:v>14–22</x:v>
      </x:c>
      <x:c r="T22" s="529" t="str">
        <x:v>Excellent passkey-backed one-tap experience for supported EVM applications and payments.</x:v>
      </x:c>
      <x:c r="U22" s="529" t="str">
        <x:v>Base/EVM-centered identity/account semantics conflict with identity-api's inherent cross-chain and non-wallet scope.</x:v>
      </x:c>
      <x:c r="V22" s="529" t="str">
        <x:v>https://docs.base.org/base-account/overview/what-is-base-account</x:v>
      </x:c>
      <x:c r="W22" s="531" t="str">
        <x:v>https://www.w3.org/TR/webauthn-3/</x:v>
      </x:c>
    </x:row>
    <x:row r="23" ht="58" customHeight="1">
      <x:c r="A23" s="528" t="n">
        <x:f>RANK(R23,$R$3:$R$25,0)</x:f>
        <x:v>21</x:v>
      </x:c>
      <x:c r="B23" s="529" t="str">
        <x:v>Legacy Telegram Login Widget</x:v>
      </x:c>
      <x:c r="C23" s="529" t="str">
        <x:v>Chat/social legacy</x:v>
      </x:c>
      <x:c r="D23" s="529" t="str">
        <x:v>MIGRATE / avoid new adoption</x:v>
      </x:c>
      <x:c r="E23" s="529" t="str">
        <x:v>Legacy support only</x:v>
      </x:c>
      <x:c r="F23" s="529" t="str">
        <x:v>High</x:v>
      </x:c>
      <x:c r="G23" s="770" t="n">
        <x:v>5</x:v>
      </x:c>
      <x:c r="H23" s="770" t="n">
        <x:v>6</x:v>
      </x:c>
      <x:c r="I23" s="770" t="n">
        <x:v>8</x:v>
      </x:c>
      <x:c r="J23" s="770" t="n">
        <x:v>7</x:v>
      </x:c>
      <x:c r="K23" s="770" t="n">
        <x:v>5</x:v>
      </x:c>
      <x:c r="L23" s="770" t="n">
        <x:v>6</x:v>
      </x:c>
      <x:c r="M23" s="770" t="n">
        <x:v>7</x:v>
      </x:c>
      <x:c r="N23" s="770" t="n">
        <x:v>9</x:v>
      </x:c>
      <x:c r="O23" s="770" t="n">
        <x:v>4</x:v>
      </x:c>
      <x:c r="P23" s="770" t="n">
        <x:v>6</x:v>
      </x:c>
      <x:c r="Q23" s="721" t="n">
        <x:f>G23*'AHP Weights'!$M$3+H23*'AHP Weights'!$M$4+I23*'AHP Weights'!$M$5+J23*'AHP Weights'!$M$6+K23*'AHP Weights'!$M$7+L23*'AHP Weights'!$M$8+M23*'AHP Weights'!$M$9+N23*'AHP Weights'!$M$10+O23*'AHP Weights'!$M$11+P23*'AHP Weights'!$M$12</x:f>
        <x:v>6.224566912501601</x:v>
      </x:c>
      <x:c r="R23" s="530" t="n">
        <x:f>ROUND((Q23-1)/8*100,6)</x:f>
        <x:v>65.307086</x:v>
      </x:c>
      <x:c r="S23" s="483" t="str">
        <x:v>19–22</x:v>
      </x:c>
      <x:c r="T23" s="529" t="str">
        <x:v>May be retained temporarily where migration cost is material.</x:v>
      </x:c>
      <x:c r="U23" s="529" t="str">
        <x:v>Superseded by the official OIDC path and less aligned with a uniform OAuth/OIDC linking state machine.</x:v>
      </x:c>
      <x:c r="V23" s="529" t="str">
        <x:v>https://core.telegram.org/widgets/login-legacy</x:v>
      </x:c>
      <x:c r="W23" s="531" t="str">
        <x:v>https://core.telegram.org/bots/telegram-login</x:v>
      </x:c>
    </x:row>
    <x:row r="24" ht="58" customHeight="1">
      <x:c r="A24" s="528" t="n">
        <x:f>RANK(R24,$R$3:$R$25,0)</x:f>
        <x:v>22</x:v>
      </x:c>
      <x:c r="B24" s="529" t="str">
        <x:v>ERC-7846 wallet_connect + SIWE</x:v>
      </x:c>
      <x:c r="C24" s="529" t="str">
        <x:v>Emerging wallet</x:v>
      </x:c>
      <x:c r="D24" s="529" t="str">
        <x:v>WATCH / EVM pilot</x:v>
      </x:c>
      <x:c r="E24" s="529" t="str">
        <x:v>P1 / watch</x:v>
      </x:c>
      <x:c r="F24" s="529" t="str">
        <x:v>Medium-low</x:v>
      </x:c>
      <x:c r="G24" s="770" t="n">
        <x:v>6</x:v>
      </x:c>
      <x:c r="H24" s="770" t="n">
        <x:v>7</x:v>
      </x:c>
      <x:c r="I24" s="770" t="n">
        <x:v>3</x:v>
      </x:c>
      <x:c r="J24" s="770" t="n">
        <x:v>9</x:v>
      </x:c>
      <x:c r="K24" s="770" t="n">
        <x:v>7</x:v>
      </x:c>
      <x:c r="L24" s="770" t="n">
        <x:v>4</x:v>
      </x:c>
      <x:c r="M24" s="770" t="n">
        <x:v>4</x:v>
      </x:c>
      <x:c r="N24" s="770" t="n">
        <x:v>8</x:v>
      </x:c>
      <x:c r="O24" s="770" t="n">
        <x:v>5</x:v>
      </x:c>
      <x:c r="P24" s="770" t="n">
        <x:v>5</x:v>
      </x:c>
      <x:c r="Q24" s="721" t="n">
        <x:f>G24*'AHP Weights'!$M$3+H24*'AHP Weights'!$M$4+I24*'AHP Weights'!$M$5+J24*'AHP Weights'!$M$6+K24*'AHP Weights'!$M$7+L24*'AHP Weights'!$M$8+M24*'AHP Weights'!$M$9+N24*'AHP Weights'!$M$10+O24*'AHP Weights'!$M$11+P24*'AHP Weights'!$M$12</x:f>
        <x:v>6.067262863586509</x:v>
      </x:c>
      <x:c r="R24" s="530" t="n">
        <x:f>ROUND((Q24-1)/8*100,6)</x:f>
        <x:v>63.340786</x:v>
      </x:c>
      <x:c r="S24" s="483" t="str">
        <x:v>21–22</x:v>
      </x:c>
      <x:c r="T24" s="529" t="str">
        <x:v>Useful capability-detected EVM route to one combined connector interaction.</x:v>
      </x:c>
      <x:c r="U24" s="529" t="str">
        <x:v>Draft, EVM-only, and overlaps with competing wallet-authentication interfaces.</x:v>
      </x:c>
      <x:c r="V24" s="529" t="str">
        <x:v>https://ercs.ethereum.org/ERCS/erc-7846</x:v>
      </x:c>
      <x:c r="W24" s="531" t="str">
        <x:v>https://eips.ethereum.org/EIPS/eip-4361</x:v>
      </x:c>
    </x:row>
    <x:row r="25" ht="58" customHeight="1">
      <x:c r="A25" s="532" t="n">
        <x:f>RANK(R25,$R$3:$R$25,0)</x:f>
        <x:v>23</x:v>
      </x:c>
      <x:c r="B25" s="533" t="str">
        <x:v>ERC-8019 trusted automatic SIWE</x:v>
      </x:c>
      <x:c r="C25" s="533" t="str">
        <x:v>Future wallet</x:v>
      </x:c>
      <x:c r="D25" s="533" t="str">
        <x:v>WATCH — do not baseline</x:v>
      </x:c>
      <x:c r="E25" s="533" t="str">
        <x:v>Future</x:v>
      </x:c>
      <x:c r="F25" s="533" t="str">
        <x:v>Low</x:v>
      </x:c>
      <x:c r="G25" s="771" t="n">
        <x:v>5</x:v>
      </x:c>
      <x:c r="H25" s="771" t="n">
        <x:v>7</x:v>
      </x:c>
      <x:c r="I25" s="771" t="n">
        <x:v>3</x:v>
      </x:c>
      <x:c r="J25" s="771" t="n">
        <x:v>9</x:v>
      </x:c>
      <x:c r="K25" s="771" t="n">
        <x:v>6</x:v>
      </x:c>
      <x:c r="L25" s="771" t="n">
        <x:v>2</x:v>
      </x:c>
      <x:c r="M25" s="771" t="n">
        <x:v>2</x:v>
      </x:c>
      <x:c r="N25" s="771" t="n">
        <x:v>8</x:v>
      </x:c>
      <x:c r="O25" s="771" t="n">
        <x:v>8</x:v>
      </x:c>
      <x:c r="P25" s="771" t="n">
        <x:v>3</x:v>
      </x:c>
      <x:c r="Q25" s="730" t="n">
        <x:f>G25*'AHP Weights'!$M$3+H25*'AHP Weights'!$M$4+I25*'AHP Weights'!$M$5+J25*'AHP Weights'!$M$6+K25*'AHP Weights'!$M$7+L25*'AHP Weights'!$M$8+M25*'AHP Weights'!$M$9+N25*'AHP Weights'!$M$10+O25*'AHP Weights'!$M$11+P25*'AHP Weights'!$M$12</x:f>
        <x:v>5.639358894458576</x:v>
      </x:c>
      <x:c r="R25" s="535" t="n">
        <x:f>ROUND((Q25-1)/8*100,6)</x:f>
        <x:v>57.991986</x:v>
      </x:c>
      <x:c r="S25" s="534" t="str">
        <x:v>23–23</x:v>
      </x:c>
      <x:c r="T25" s="533" t="str">
        <x:v>Potential future zero-prompt reauthentication after a user grants an exact wallet-managed trust policy.</x:v>
      </x:c>
      <x:c r="U25" s="533" t="str">
        <x:v>Review-stage proposal with no reliable wallet coverage and open product/security questions around policy management and auto-signing.</x:v>
      </x:c>
      <x:c r="V25" s="533" t="str">
        <x:v>https://raw.githubusercontent.com/ethereum/ERCs/master/ERCS/erc-8019.md</x:v>
      </x:c>
      <x:c r="W25" s="536" t="str">
        <x:v>https://eips.ethereum.org/EIPS/eip-4361</x:v>
      </x:c>
    </x:row>
    <x:row r="26">
      <x:c r="A26" s="483"/>
      <x:c r="B26" s="483"/>
      <x:c r="C26" s="483"/>
      <x:c r="D26" s="483"/>
      <x:c r="E26" s="483"/>
      <x:c r="F26" s="483"/>
      <x:c r="G26" s="483"/>
      <x:c r="H26" s="483"/>
      <x:c r="I26" s="483"/>
      <x:c r="J26" s="483"/>
      <x:c r="K26" s="483"/>
      <x:c r="L26" s="483"/>
      <x:c r="M26" s="483"/>
      <x:c r="N26" s="483"/>
      <x:c r="O26" s="483"/>
      <x:c r="P26" s="483"/>
      <x:c r="Q26" s="483"/>
      <x:c r="R26" s="483"/>
      <x:c r="S26" s="483"/>
      <x:c r="T26" s="483"/>
      <x:c r="U26" s="483"/>
      <x:c r="V26" s="483"/>
      <x:c r="W26" s="483"/>
    </x:row>
    <x:row r="27">
      <x:c r="A27" s="483"/>
      <x:c r="B27" s="483"/>
      <x:c r="C27" s="483"/>
      <x:c r="D27" s="483"/>
      <x:c r="E27" s="483"/>
      <x:c r="F27" s="483"/>
      <x:c r="G27" s="483"/>
      <x:c r="H27" s="483"/>
      <x:c r="I27" s="483"/>
      <x:c r="J27" s="483"/>
      <x:c r="K27" s="483"/>
      <x:c r="L27" s="483"/>
      <x:c r="M27" s="483"/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>
      <x:c r="A28" s="483"/>
      <x:c r="B28" s="483"/>
      <x:c r="C28" s="483"/>
      <x:c r="D28" s="483"/>
      <x:c r="E28" s="483"/>
      <x:c r="F28" s="483"/>
      <x:c r="G28" s="483"/>
      <x:c r="H28" s="483"/>
      <x:c r="I28" s="483"/>
      <x:c r="J28" s="483"/>
      <x:c r="K28" s="483"/>
      <x:c r="L28" s="483"/>
      <x:c r="M28" s="483"/>
      <x:c r="N28" s="483"/>
      <x:c r="O28" s="483"/>
      <x:c r="P28" s="483"/>
      <x:c r="Q28" s="483"/>
      <x:c r="R28" s="483"/>
      <x:c r="S28" s="483"/>
      <x:c r="T28" s="483"/>
      <x:c r="U28" s="483"/>
      <x:c r="V28" s="483"/>
      <x:c r="W28" s="483"/>
    </x:row>
    <x:row r="29">
      <x:c r="A29" s="483"/>
      <x:c r="B29" s="483"/>
      <x:c r="C29" s="483"/>
      <x:c r="D29" s="483"/>
      <x:c r="E29" s="483"/>
      <x:c r="F29" s="483"/>
      <x:c r="G29" s="483"/>
      <x:c r="H29" s="483"/>
      <x:c r="I29" s="483"/>
      <x:c r="J29" s="483"/>
      <x:c r="K29" s="483"/>
      <x:c r="L29" s="483"/>
      <x:c r="M29" s="483"/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>
      <x:c r="A30" s="483"/>
      <x:c r="B30" s="483"/>
      <x:c r="C30" s="483"/>
      <x:c r="D30" s="483"/>
      <x:c r="E30" s="483"/>
      <x:c r="F30" s="483"/>
      <x:c r="G30" s="483"/>
      <x:c r="H30" s="483"/>
      <x:c r="I30" s="483"/>
      <x:c r="J30" s="483"/>
      <x:c r="K30" s="483"/>
      <x:c r="L30" s="483"/>
      <x:c r="M30" s="483"/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>
      <x:c r="A31" s="483"/>
      <x:c r="B31" s="483"/>
      <x:c r="C31" s="483"/>
      <x:c r="D31" s="483"/>
      <x:c r="E31" s="483"/>
      <x:c r="F31" s="483"/>
      <x:c r="G31" s="483"/>
      <x:c r="H31" s="483"/>
      <x:c r="I31" s="483"/>
      <x:c r="J31" s="483"/>
      <x:c r="K31" s="483"/>
      <x:c r="L31" s="483"/>
      <x:c r="M31" s="483"/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>
      <x:c r="A32" s="483"/>
      <x:c r="B32" s="483"/>
      <x:c r="C32" s="483"/>
      <x:c r="D32" s="483"/>
      <x:c r="E32" s="483"/>
      <x:c r="F32" s="483"/>
      <x:c r="G32" s="483"/>
      <x:c r="H32" s="483"/>
      <x:c r="I32" s="483"/>
      <x:c r="J32" s="483"/>
      <x:c r="K32" s="483"/>
      <x:c r="L32" s="483"/>
      <x:c r="M32" s="483"/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>
      <x:c r="A33" s="483"/>
      <x:c r="B33" s="483"/>
      <x:c r="C33" s="483"/>
      <x:c r="D33" s="483"/>
      <x:c r="E33" s="483"/>
      <x:c r="F33" s="483"/>
      <x:c r="G33" s="483"/>
      <x:c r="H33" s="483"/>
      <x:c r="I33" s="483"/>
      <x:c r="J33" s="483"/>
      <x:c r="K33" s="483"/>
      <x:c r="L33" s="483"/>
      <x:c r="M33" s="483"/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>
      <x:c r="A34" s="483"/>
      <x:c r="B34" s="483"/>
      <x:c r="C34" s="483"/>
      <x:c r="D34" s="483"/>
      <x:c r="E34" s="483"/>
      <x:c r="F34" s="483"/>
      <x:c r="G34" s="483"/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>
      <x:c r="A35" s="483"/>
      <x:c r="B35" s="483"/>
      <x:c r="C35" s="483"/>
      <x:c r="D35" s="483"/>
      <x:c r="E35" s="483"/>
      <x:c r="F35" s="483"/>
      <x:c r="G35" s="483"/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>
      <x:c r="A36" s="483"/>
      <x:c r="B36" s="483"/>
      <x:c r="C36" s="483"/>
      <x:c r="D36" s="483"/>
      <x:c r="E36" s="483"/>
      <x:c r="F36" s="483"/>
      <x:c r="G36" s="483"/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>
      <x:c r="A37" s="483"/>
      <x:c r="B37" s="483"/>
      <x:c r="C37" s="483"/>
      <x:c r="D37" s="483"/>
      <x:c r="E37" s="483"/>
      <x:c r="F37" s="483"/>
      <x:c r="G37" s="483"/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>
      <x:c r="A38" s="483"/>
      <x:c r="B38" s="483"/>
      <x:c r="C38" s="483"/>
      <x:c r="D38" s="483"/>
      <x:c r="E38" s="483"/>
      <x:c r="F38" s="483"/>
      <x:c r="G38" s="483"/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>
      <x:c r="A39" s="483"/>
      <x:c r="B39" s="483"/>
      <x:c r="C39" s="483"/>
      <x:c r="D39" s="483"/>
      <x:c r="E39" s="483"/>
      <x:c r="F39" s="483"/>
      <x:c r="G39" s="483"/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>
      <x:c r="A40" s="483"/>
      <x:c r="B40" s="483"/>
      <x:c r="C40" s="483"/>
      <x:c r="D40" s="483"/>
      <x:c r="E40" s="483"/>
      <x:c r="F40" s="483"/>
      <x:c r="G40" s="483"/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>
      <x:c r="A41" s="483"/>
      <x:c r="B41" s="483"/>
      <x:c r="C41" s="483"/>
      <x:c r="D41" s="483"/>
      <x:c r="E41" s="483"/>
      <x:c r="F41" s="483"/>
      <x:c r="G41" s="483"/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>
      <x:c r="A42" s="483"/>
      <x:c r="B42" s="483"/>
      <x:c r="C42" s="483"/>
      <x:c r="D42" s="483"/>
      <x:c r="E42" s="483"/>
      <x:c r="F42" s="483"/>
      <x:c r="G42" s="483"/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W1"/>
  </x:mergeCells>
  <x:conditionalFormatting sqref="G3:P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3:R25">
    <x:cfRule type="dataBar" priority="2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{02F25013-2012-474B-7048-BD3FE45EBE4D}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e8829fbb01245b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2F25013-2012-474B-7048-BD3FE45EBE4D}">
            <x14:dataBar gradient="1">
              <x14:cfvo type="min"/>
              <x14:cfvo type="max"/>
              <x14:fillColor rgb="FF1D4ED8"/>
            </x14:dataBar>
          </x14:cfRule>
          <xm:sqref>R3:R25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</x:cols>
  <x:sheetData>
    <x:row r="1">
      <x:c r="A1" s="481" t="str">
        <x:v>Sensitivity analysis — edit scenario weights and compare score/rank movement</x:v>
      </x:c>
      <x:c r="B1" s="481"/>
      <x:c r="C1" s="481"/>
      <x:c r="D1" s="481"/>
      <x:c r="E1" s="481"/>
      <x:c r="F1" s="481"/>
      <x:c r="G1" s="481"/>
      <x:c r="H1" s="481"/>
      <x:c r="I1" s="481"/>
      <x:c r="J1" s="481"/>
      <x:c r="K1" s="481"/>
      <x:c r="L1" s="481"/>
      <x:c r="M1" s="483"/>
      <x:c r="N1" s="483"/>
      <x:c r="O1" s="483"/>
      <x:c r="P1" s="483"/>
      <x:c r="Q1" s="483"/>
      <x:c r="R1" s="483"/>
      <x:c r="S1" s="483"/>
      <x:c r="T1" s="483"/>
      <x:c r="U1" s="483"/>
      <x:c r="V1" s="483"/>
      <x:c r="W1" s="483"/>
    </x:row>
    <x:row r="2">
      <x:c r="A2" s="520" t="str">
        <x:v>Scenario</x:v>
      </x:c>
      <x:c r="B2" s="521" t="str">
        <x:v>Near-term channels</x:v>
      </x:c>
      <x:c r="C2" s="521" t="str">
        <x:v>Architecture fit</x:v>
      </x:c>
      <x:c r="D2" s="521" t="str">
        <x:v>Chain agnostic</x:v>
      </x:c>
      <x:c r="E2" s="521" t="str">
        <x:v>Friction</x:v>
      </x:c>
      <x:c r="F2" s="521" t="str">
        <x:v>Security</x:v>
      </x:c>
      <x:c r="G2" s="521" t="str">
        <x:v>Maturity</x:v>
      </x:c>
      <x:c r="H2" s="521" t="str">
        <x:v>Time to prod</x:v>
      </x:c>
      <x:c r="I2" s="521" t="str">
        <x:v>Sovereignty</x:v>
      </x:c>
      <x:c r="J2" s="521" t="str">
        <x:v>Session continuity</x:v>
      </x:c>
      <x:c r="K2" s="522" t="str">
        <x:v>Ops / TCO</x:v>
      </x:c>
      <x:c r="L2" s="483"/>
      <x:c r="M2" s="483"/>
      <x:c r="N2" s="483"/>
      <x:c r="O2" s="483"/>
      <x:c r="P2" s="483"/>
      <x:c r="Q2" s="483"/>
      <x:c r="R2" s="483"/>
      <x:c r="S2" s="483"/>
      <x:c r="T2" s="483"/>
      <x:c r="U2" s="483"/>
      <x:c r="V2" s="483"/>
      <x:c r="W2" s="483"/>
    </x:row>
    <x:row r="3">
      <x:c r="A3" s="523" t="str">
        <x:v>Base / channel-first</x:v>
      </x:c>
      <x:c r="B3" s="718" t="n">
        <x:v>0.16242022539973072</x:v>
      </x:c>
      <x:c r="C3" s="718" t="n">
        <x:v>0.15883606069252512</x:v>
      </x:c>
      <x:c r="D3" s="718" t="n">
        <x:v>0.13122564928368757</x:v>
      </x:c>
      <x:c r="E3" s="718" t="n">
        <x:v>0.13122564928368757</x:v>
      </x:c>
      <x:c r="F3" s="718" t="n">
        <x:v>0.13122564928368757</x:v>
      </x:c>
      <x:c r="G3" s="718" t="n">
        <x:v>0.06226791966697823</x:v>
      </x:c>
      <x:c r="H3" s="718" t="n">
        <x:v>0.06226791966697823</x:v>
      </x:c>
      <x:c r="I3" s="718" t="n">
        <x:v>0.06226791966697823</x:v>
      </x:c>
      <x:c r="J3" s="718" t="n">
        <x:v>0.06226791966697823</x:v>
      </x:c>
      <x:c r="K3" s="726" t="n">
        <x:v>0.03599508738876858</x:v>
      </x:c>
      <x:c r="L3" s="483"/>
      <x:c r="M3" s="483"/>
      <x:c r="N3" s="483"/>
      <x:c r="O3" s="483"/>
      <x:c r="P3" s="483"/>
      <x:c r="Q3" s="483"/>
      <x:c r="R3" s="483"/>
      <x:c r="S3" s="483"/>
      <x:c r="T3" s="483"/>
      <x:c r="U3" s="483"/>
      <x:c r="V3" s="483"/>
      <x:c r="W3" s="483"/>
    </x:row>
    <x:row r="4">
      <x:c r="A4" s="528" t="str">
        <x:v>Sovereignty-first</x:v>
      </x:c>
      <x:c r="B4" s="723" t="n">
        <x:v>0.12</x:v>
      </x:c>
      <x:c r="C4" s="723" t="n">
        <x:v>0.18</x:v>
      </x:c>
      <x:c r="D4" s="723" t="n">
        <x:v>0.18</x:v>
      </x:c>
      <x:c r="E4" s="723" t="n">
        <x:v>0.08</x:v>
      </x:c>
      <x:c r="F4" s="723" t="n">
        <x:v>0.15</x:v>
      </x:c>
      <x:c r="G4" s="723" t="n">
        <x:v>0.05</x:v>
      </x:c>
      <x:c r="H4" s="723" t="n">
        <x:v>0.04</x:v>
      </x:c>
      <x:c r="I4" s="723" t="n">
        <x:v>0.14</x:v>
      </x:c>
      <x:c r="J4" s="723" t="n">
        <x:v>0.04</x:v>
      </x:c>
      <x:c r="K4" s="728" t="n">
        <x:v>0.02</x:v>
      </x:c>
      <x:c r="L4" s="483"/>
      <x:c r="M4" s="483"/>
      <x:c r="N4" s="483"/>
      <x:c r="O4" s="483"/>
      <x:c r="P4" s="483"/>
      <x:c r="Q4" s="483"/>
      <x:c r="R4" s="483"/>
      <x:c r="S4" s="483"/>
      <x:c r="T4" s="483"/>
      <x:c r="U4" s="483"/>
      <x:c r="V4" s="483"/>
      <x:c r="W4" s="483"/>
    </x:row>
    <x:row r="5">
      <x:c r="A5" s="528" t="str">
        <x:v>UX / activation-first</x:v>
      </x:c>
      <x:c r="B5" s="723" t="n">
        <x:v>0.2</x:v>
      </x:c>
      <x:c r="C5" s="723" t="n">
        <x:v>0.06</x:v>
      </x:c>
      <x:c r="D5" s="723" t="n">
        <x:v>0.03</x:v>
      </x:c>
      <x:c r="E5" s="723" t="n">
        <x:v>0.25</x:v>
      </x:c>
      <x:c r="F5" s="723" t="n">
        <x:v>0.05</x:v>
      </x:c>
      <x:c r="G5" s="723" t="n">
        <x:v>0.08</x:v>
      </x:c>
      <x:c r="H5" s="723" t="n">
        <x:v>0.12</x:v>
      </x:c>
      <x:c r="I5" s="723" t="n">
        <x:v>0.02</x:v>
      </x:c>
      <x:c r="J5" s="723" t="n">
        <x:v>0.12</x:v>
      </x:c>
      <x:c r="K5" s="728" t="n">
        <x:v>0.07</x:v>
      </x:c>
      <x:c r="L5" s="483"/>
      <x:c r="M5" s="483"/>
      <x:c r="N5" s="483"/>
      <x:c r="O5" s="483"/>
      <x:c r="P5" s="483"/>
      <x:c r="Q5" s="483"/>
      <x:c r="R5" s="483"/>
      <x:c r="S5" s="483"/>
      <x:c r="T5" s="483"/>
      <x:c r="U5" s="483"/>
      <x:c r="V5" s="483"/>
      <x:c r="W5" s="483"/>
    </x:row>
    <x:row r="6">
      <x:c r="A6" s="528" t="str">
        <x:v>Security-first</x:v>
      </x:c>
      <x:c r="B6" s="723" t="n">
        <x:v>0.08</x:v>
      </x:c>
      <x:c r="C6" s="723" t="n">
        <x:v>0.16</x:v>
      </x:c>
      <x:c r="D6" s="723" t="n">
        <x:v>0.08</x:v>
      </x:c>
      <x:c r="E6" s="723" t="n">
        <x:v>0.05</x:v>
      </x:c>
      <x:c r="F6" s="723" t="n">
        <x:v>0.25</x:v>
      </x:c>
      <x:c r="G6" s="723" t="n">
        <x:v>0.1</x:v>
      </x:c>
      <x:c r="H6" s="723" t="n">
        <x:v>0.03</x:v>
      </x:c>
      <x:c r="I6" s="723" t="n">
        <x:v>0.1</x:v>
      </x:c>
      <x:c r="J6" s="723" t="n">
        <x:v>0.13</x:v>
      </x:c>
      <x:c r="K6" s="728" t="n">
        <x:v>0.02</x:v>
      </x:c>
      <x:c r="L6" s="483"/>
      <x:c r="M6" s="483"/>
      <x:c r="N6" s="483"/>
      <x:c r="O6" s="483"/>
      <x:c r="P6" s="483"/>
      <x:c r="Q6" s="483"/>
      <x:c r="R6" s="483"/>
      <x:c r="S6" s="483"/>
      <x:c r="T6" s="483"/>
      <x:c r="U6" s="483"/>
      <x:c r="V6" s="483"/>
      <x:c r="W6" s="483"/>
    </x:row>
    <x:row r="7">
      <x:c r="A7" s="532" t="str">
        <x:v>Chain-neutral-first</x:v>
      </x:c>
      <x:c r="B7" s="732" t="n">
        <x:v>0.12</x:v>
      </x:c>
      <x:c r="C7" s="732" t="n">
        <x:v>0.18</x:v>
      </x:c>
      <x:c r="D7" s="732" t="n">
        <x:v>0.25</x:v>
      </x:c>
      <x:c r="E7" s="732" t="n">
        <x:v>0.06</x:v>
      </x:c>
      <x:c r="F7" s="732" t="n">
        <x:v>0.1</x:v>
      </x:c>
      <x:c r="G7" s="732" t="n">
        <x:v>0.07</x:v>
      </x:c>
      <x:c r="H7" s="732" t="n">
        <x:v>0.04</x:v>
      </x:c>
      <x:c r="I7" s="732" t="n">
        <x:v>0.12</x:v>
      </x:c>
      <x:c r="J7" s="732" t="n">
        <x:v>0.04</x:v>
      </x:c>
      <x:c r="K7" s="739" t="n">
        <x:v>0.02</x:v>
      </x:c>
      <x:c r="L7" s="483"/>
      <x:c r="M7" s="483"/>
      <x:c r="N7" s="483"/>
      <x:c r="O7" s="483"/>
      <x:c r="P7" s="483"/>
      <x:c r="Q7" s="483"/>
      <x:c r="R7" s="483"/>
      <x:c r="S7" s="483"/>
      <x:c r="T7" s="483"/>
      <x:c r="U7" s="483"/>
      <x:c r="V7" s="483"/>
      <x:c r="W7" s="483"/>
    </x:row>
    <x:row r="8">
      <x:c r="A8" s="483"/>
      <x:c r="B8" s="483"/>
      <x:c r="C8" s="483"/>
      <x:c r="D8" s="483"/>
      <x:c r="E8" s="483"/>
      <x:c r="F8" s="483"/>
      <x:c r="G8" s="483"/>
      <x:c r="H8" s="483"/>
      <x:c r="I8" s="483"/>
      <x:c r="J8" s="483"/>
      <x:c r="K8" s="483"/>
      <x:c r="L8" s="483"/>
      <x:c r="M8" s="483"/>
      <x:c r="N8" s="483"/>
      <x:c r="O8" s="483"/>
      <x:c r="P8" s="483"/>
      <x:c r="Q8" s="483"/>
      <x:c r="R8" s="483"/>
      <x:c r="S8" s="483"/>
      <x:c r="T8" s="483"/>
      <x:c r="U8" s="483"/>
      <x:c r="V8" s="483"/>
      <x:c r="W8" s="483"/>
    </x:row>
    <x:row r="9">
      <x:c r="A9" s="519" t="str">
        <x:v>Option results by scenario</x:v>
      </x:c>
      <x:c r="B9" s="519"/>
      <x:c r="C9" s="519"/>
      <x:c r="D9" s="519"/>
      <x:c r="E9" s="519"/>
      <x:c r="F9" s="519"/>
      <x:c r="G9" s="519"/>
      <x:c r="H9" s="519"/>
      <x:c r="I9" s="519"/>
      <x:c r="J9" s="519"/>
      <x:c r="K9" s="519"/>
      <x:c r="L9" s="519"/>
      <x:c r="M9" s="519"/>
      <x:c r="N9" s="483"/>
      <x:c r="O9" s="483"/>
      <x:c r="P9" s="483"/>
      <x:c r="Q9" s="483"/>
      <x:c r="R9" s="483"/>
      <x:c r="S9" s="483"/>
      <x:c r="T9" s="483"/>
      <x:c r="U9" s="483"/>
      <x:c r="V9" s="483"/>
      <x:c r="W9" s="483"/>
    </x:row>
    <x:row r="10">
      <x:c r="A10" s="520" t="str">
        <x:v>Option</x:v>
      </x:c>
      <x:c r="B10" s="521" t="str">
        <x:v>Lane</x:v>
      </x:c>
      <x:c r="C10" s="521" t="str">
        <x:v>Base / channel-first score</x:v>
      </x:c>
      <x:c r="D10" s="521" t="str">
        <x:v>Base / channel-first rank</x:v>
      </x:c>
      <x:c r="E10" s="521" t="str">
        <x:v>Sovereignty-first score</x:v>
      </x:c>
      <x:c r="F10" s="521" t="str">
        <x:v>Sovereignty-first rank</x:v>
      </x:c>
      <x:c r="G10" s="521" t="str">
        <x:v>UX / activation-first score</x:v>
      </x:c>
      <x:c r="H10" s="521" t="str">
        <x:v>UX / activation-first rank</x:v>
      </x:c>
      <x:c r="I10" s="521" t="str">
        <x:v>Security-first score</x:v>
      </x:c>
      <x:c r="J10" s="521" t="str">
        <x:v>Security-first rank</x:v>
      </x:c>
      <x:c r="K10" s="521" t="str">
        <x:v>Chain-neutral-first score</x:v>
      </x:c>
      <x:c r="L10" s="521" t="str">
        <x:v>Chain-neutral-first rank</x:v>
      </x:c>
      <x:c r="M10" s="522" t="str">
        <x:v>Rank range</x:v>
      </x:c>
      <x:c r="N10" s="483"/>
      <x:c r="O10" s="483"/>
      <x:c r="P10" s="483"/>
      <x:c r="Q10" s="483"/>
      <x:c r="R10" s="483"/>
      <x:c r="S10" s="483"/>
      <x:c r="T10" s="483"/>
      <x:c r="U10" s="483"/>
      <x:c r="V10" s="483"/>
      <x:c r="W10" s="483"/>
    </x:row>
    <x:row r="11">
      <x:c r="A11" s="725" t="str">
        <x:v>Native identity-api broker + durable session</x:v>
      </x:c>
      <x:c r="B11" s="524" t="str">
        <x:v>Foundation</x:v>
      </x:c>
      <x:c r="C11" s="526" t="n">
        <x:f>ROUND(('Option Matrix'!G3*$B$3+'Option Matrix'!H3*$C$3+'Option Matrix'!I3*$D$3+'Option Matrix'!J3*$E$3+'Option Matrix'!K3*$F$3+'Option Matrix'!L3*$G$3+'Option Matrix'!M3*$H$3+'Option Matrix'!N3*$I$3+'Option Matrix'!O3*$J$3+'Option Matrix'!P3*$K$3-1)/8*100,6)</x:f>
        <x:v>91.027859</x:v>
      </x:c>
      <x:c r="D11" s="525" t="n">
        <x:f>RANK(C11,$C$11:$C$33,0)</x:f>
        <x:v>1</x:v>
      </x:c>
      <x:c r="E11" s="526" t="n">
        <x:f>ROUND(('Option Matrix'!G3*$B$4+'Option Matrix'!H3*$C$4+'Option Matrix'!I3*$D$4+'Option Matrix'!J3*$E$4+'Option Matrix'!K3*$F$4+'Option Matrix'!L3*$G$4+'Option Matrix'!M3*$H$4+'Option Matrix'!N3*$I$4+'Option Matrix'!O3*$J$4+'Option Matrix'!P3*$K$4-1)/8*100,6)</x:f>
        <x:v>94.25</x:v>
      </x:c>
      <x:c r="F11" s="525" t="n">
        <x:f>RANK(E11,$E$11:$E$33,0)</x:f>
        <x:v>1</x:v>
      </x:c>
      <x:c r="G11" s="526" t="n">
        <x:f>ROUND(('Option Matrix'!G3*$B$5+'Option Matrix'!H3*$C$5+'Option Matrix'!I3*$D$5+'Option Matrix'!J3*$E$5+'Option Matrix'!K3*$F$5+'Option Matrix'!L3*$G$5+'Option Matrix'!M3*$H$5+'Option Matrix'!N3*$I$5+'Option Matrix'!O3*$J$5+'Option Matrix'!P3*$K$5-1)/8*100,6)</x:f>
        <x:v>83.75</x:v>
      </x:c>
      <x:c r="H11" s="525" t="n">
        <x:f>RANK(G11,$G$11:$G$33,0)</x:f>
        <x:v>8</x:v>
      </x:c>
      <x:c r="I11" s="526" t="n">
        <x:f>ROUND(('Option Matrix'!G3*$B$6+'Option Matrix'!H3*$C$6+'Option Matrix'!I3*$D$6+'Option Matrix'!J3*$E$6+'Option Matrix'!K3*$F$6+'Option Matrix'!L3*$G$6+'Option Matrix'!M3*$H$6+'Option Matrix'!N3*$I$6+'Option Matrix'!O3*$J$6+'Option Matrix'!P3*$K$6-1)/8*100,6)</x:f>
        <x:v>94.125</x:v>
      </x:c>
      <x:c r="J11" s="525" t="n">
        <x:f>RANK(I11,$I$11:$I$33,0)</x:f>
        <x:v>1</x:v>
      </x:c>
      <x:c r="K11" s="526" t="n">
        <x:f>ROUND(('Option Matrix'!G3*$B$7+'Option Matrix'!H3*$C$7+'Option Matrix'!I3*$D$7+'Option Matrix'!J3*$E$7+'Option Matrix'!K3*$F$7+'Option Matrix'!L3*$G$7+'Option Matrix'!M3*$H$7+'Option Matrix'!N3*$I$7+'Option Matrix'!O3*$J$7+'Option Matrix'!P3*$K$7-1)/8*100,6)</x:f>
        <x:v>94.25</x:v>
      </x:c>
      <x:c r="L11" s="525" t="n">
        <x:f>RANK(K11,$K$11:$K$33,0)</x:f>
        <x:v>1</x:v>
      </x:c>
      <x:c r="M11" s="775" t="str">
        <x:f>MIN(D11,F11,H11,J11,L11)&amp;"–"&amp;MAX(D11,F11,H11,J11,L11)</x:f>
        <x:v>1–8</x:v>
      </x:c>
      <x:c r="N11" s="483"/>
      <x:c r="O11" s="483"/>
      <x:c r="P11" s="483"/>
      <x:c r="Q11" s="483"/>
      <x:c r="R11" s="483"/>
      <x:c r="S11" s="483"/>
      <x:c r="T11" s="483"/>
      <x:c r="U11" s="483"/>
      <x:c r="V11" s="483"/>
      <x:c r="W11" s="483"/>
    </x:row>
    <x:row r="12">
      <x:c r="A12" s="727" t="str">
        <x:v>Telegram OIDC linking</x:v>
      </x:c>
      <x:c r="B12" s="529" t="str">
        <x:v>Chat/social</x:v>
      </x:c>
      <x:c r="C12" s="530" t="n">
        <x:f>ROUND(('Option Matrix'!G4*$B$3+'Option Matrix'!H4*$C$3+'Option Matrix'!I4*$D$3+'Option Matrix'!J4*$E$3+'Option Matrix'!K4*$F$3+'Option Matrix'!L4*$G$3+'Option Matrix'!M4*$H$3+'Option Matrix'!N4*$I$3+'Option Matrix'!O4*$J$3+'Option Matrix'!P4*$K$3-1)/8*100,6)</x:f>
        <x:v>89.897484</x:v>
      </x:c>
      <x:c r="D12" s="483" t="n">
        <x:f>RANK(C12,$C$11:$C$33,0)</x:f>
        <x:v>2</x:v>
      </x:c>
      <x:c r="E12" s="530" t="n">
        <x:f>ROUND(('Option Matrix'!G4*$B$4+'Option Matrix'!H4*$C$4+'Option Matrix'!I4*$D$4+'Option Matrix'!J4*$E$4+'Option Matrix'!K4*$F$4+'Option Matrix'!L4*$G$4+'Option Matrix'!M4*$H$4+'Option Matrix'!N4*$I$4+'Option Matrix'!O4*$J$4+'Option Matrix'!P4*$K$4-1)/8*100,6)</x:f>
        <x:v>92.375</x:v>
      </x:c>
      <x:c r="F12" s="483" t="n">
        <x:f>RANK(E12,$E$11:$E$33,0)</x:f>
        <x:v>2</x:v>
      </x:c>
      <x:c r="G12" s="530" t="n">
        <x:f>ROUND(('Option Matrix'!G4*$B$5+'Option Matrix'!H4*$C$5+'Option Matrix'!I4*$D$5+'Option Matrix'!J4*$E$5+'Option Matrix'!K4*$F$5+'Option Matrix'!L4*$G$5+'Option Matrix'!M4*$H$5+'Option Matrix'!N4*$I$5+'Option Matrix'!O4*$J$5+'Option Matrix'!P4*$K$5-1)/8*100,6)</x:f>
        <x:v>85.5</x:v>
      </x:c>
      <x:c r="H12" s="483" t="n">
        <x:f>RANK(G12,$G$11:$G$33,0)</x:f>
        <x:v>4</x:v>
      </x:c>
      <x:c r="I12" s="530" t="n">
        <x:f>ROUND(('Option Matrix'!G4*$B$6+'Option Matrix'!H4*$C$6+'Option Matrix'!I4*$D$6+'Option Matrix'!J4*$E$6+'Option Matrix'!K4*$F$6+'Option Matrix'!L4*$G$6+'Option Matrix'!M4*$H$6+'Option Matrix'!N4*$I$6+'Option Matrix'!O4*$J$6+'Option Matrix'!P4*$K$6-1)/8*100,6)</x:f>
        <x:v>88.625</x:v>
      </x:c>
      <x:c r="J12" s="483" t="n">
        <x:f>RANK(I12,$I$11:$I$33,0)</x:f>
        <x:v>4</x:v>
      </x:c>
      <x:c r="K12" s="530" t="n">
        <x:f>ROUND(('Option Matrix'!G4*$B$7+'Option Matrix'!H4*$C$7+'Option Matrix'!I4*$D$7+'Option Matrix'!J4*$E$7+'Option Matrix'!K4*$F$7+'Option Matrix'!L4*$G$7+'Option Matrix'!M4*$H$7+'Option Matrix'!N4*$I$7+'Option Matrix'!O4*$J$7+'Option Matrix'!P4*$K$7-1)/8*100,6)</x:f>
        <x:v>92.75</x:v>
      </x:c>
      <x:c r="L12" s="483" t="n">
        <x:f>RANK(K12,$K$11:$K$33,0)</x:f>
        <x:v>3</x:v>
      </x:c>
      <x:c r="M12" s="776" t="str">
        <x:f>MIN(D12,F12,H12,J12,L12)&amp;"–"&amp;MAX(D12,F12,H12,J12,L12)</x:f>
        <x:v>2–4</x:v>
      </x:c>
      <x:c r="N12" s="483"/>
      <x:c r="O12" s="483"/>
      <x:c r="P12" s="483"/>
      <x:c r="Q12" s="483"/>
      <x:c r="R12" s="483"/>
      <x:c r="S12" s="483"/>
      <x:c r="T12" s="483"/>
      <x:c r="U12" s="483"/>
      <x:c r="V12" s="483"/>
      <x:c r="W12" s="483"/>
    </x:row>
    <x:row r="13">
      <x:c r="A13" s="727" t="str">
        <x:v>Discord OAuth2 linking</x:v>
      </x:c>
      <x:c r="B13" s="529" t="str">
        <x:v>Chat/social</x:v>
      </x:c>
      <x:c r="C13" s="530" t="n">
        <x:f>ROUND(('Option Matrix'!G5*$B$3+'Option Matrix'!H5*$C$3+'Option Matrix'!I5*$D$3+'Option Matrix'!J5*$E$3+'Option Matrix'!K5*$F$3+'Option Matrix'!L5*$G$3+'Option Matrix'!M5*$H$3+'Option Matrix'!N5*$I$3+'Option Matrix'!O5*$J$3+'Option Matrix'!P5*$K$3-1)/8*100,6)</x:f>
        <x:v>89.011896</x:v>
      </x:c>
      <x:c r="D13" s="483" t="n">
        <x:f>RANK(C13,$C$11:$C$33,0)</x:f>
        <x:v>3</x:v>
      </x:c>
      <x:c r="E13" s="530" t="n">
        <x:f>ROUND(('Option Matrix'!G5*$B$4+'Option Matrix'!H5*$C$4+'Option Matrix'!I5*$D$4+'Option Matrix'!J5*$E$4+'Option Matrix'!K5*$F$4+'Option Matrix'!L5*$G$4+'Option Matrix'!M5*$H$4+'Option Matrix'!N5*$I$4+'Option Matrix'!O5*$J$4+'Option Matrix'!P5*$K$4-1)/8*100,6)</x:f>
        <x:v>91.875</x:v>
      </x:c>
      <x:c r="F13" s="483" t="n">
        <x:f>RANK(E13,$E$11:$E$33,0)</x:f>
        <x:v>3</x:v>
      </x:c>
      <x:c r="G13" s="530" t="n">
        <x:f>ROUND(('Option Matrix'!G5*$B$5+'Option Matrix'!H5*$C$5+'Option Matrix'!I5*$D$5+'Option Matrix'!J5*$E$5+'Option Matrix'!K5*$F$5+'Option Matrix'!L5*$G$5+'Option Matrix'!M5*$H$5+'Option Matrix'!N5*$I$5+'Option Matrix'!O5*$J$5+'Option Matrix'!P5*$K$5-1)/8*100,6)</x:f>
        <x:v>84.25</x:v>
      </x:c>
      <x:c r="H13" s="483" t="n">
        <x:f>RANK(G13,$G$11:$G$33,0)</x:f>
        <x:v>7</x:v>
      </x:c>
      <x:c r="I13" s="530" t="n">
        <x:f>ROUND(('Option Matrix'!G5*$B$6+'Option Matrix'!H5*$C$6+'Option Matrix'!I5*$D$6+'Option Matrix'!J5*$E$6+'Option Matrix'!K5*$F$6+'Option Matrix'!L5*$G$6+'Option Matrix'!M5*$H$6+'Option Matrix'!N5*$I$6+'Option Matrix'!O5*$J$6+'Option Matrix'!P5*$K$6-1)/8*100,6)</x:f>
        <x:v>90.125</x:v>
      </x:c>
      <x:c r="J13" s="483" t="n">
        <x:f>RANK(I13,$I$11:$I$33,0)</x:f>
        <x:v>3</x:v>
      </x:c>
      <x:c r="K13" s="530" t="n">
        <x:f>ROUND(('Option Matrix'!G5*$B$7+'Option Matrix'!H5*$C$7+'Option Matrix'!I5*$D$7+'Option Matrix'!J5*$E$7+'Option Matrix'!K5*$F$7+'Option Matrix'!L5*$G$7+'Option Matrix'!M5*$H$7+'Option Matrix'!N5*$I$7+'Option Matrix'!O5*$J$7+'Option Matrix'!P5*$K$7-1)/8*100,6)</x:f>
        <x:v>93</x:v>
      </x:c>
      <x:c r="L13" s="483" t="n">
        <x:f>RANK(K13,$K$11:$K$33,0)</x:f>
        <x:v>2</x:v>
      </x:c>
      <x:c r="M13" s="776" t="str">
        <x:f>MIN(D13,F13,H13,J13,L13)&amp;"–"&amp;MAX(D13,F13,H13,J13,L13)</x:f>
        <x:v>2–7</x:v>
      </x:c>
      <x:c r="N13" s="483"/>
      <x:c r="O13" s="483"/>
      <x:c r="P13" s="483"/>
      <x:c r="Q13" s="483"/>
      <x:c r="R13" s="483"/>
      <x:c r="S13" s="483"/>
      <x:c r="T13" s="483"/>
      <x:c r="U13" s="483"/>
      <x:c r="V13" s="483"/>
      <x:c r="W13" s="483"/>
    </x:row>
    <x:row r="14">
      <x:c r="A14" s="727" t="str">
        <x:v>Discord/Telegram bot deep-link + one-time code</x:v>
      </x:c>
      <x:c r="B14" s="529" t="str">
        <x:v>Chat-native</x:v>
      </x:c>
      <x:c r="C14" s="530" t="n">
        <x:f>ROUND(('Option Matrix'!G6*$B$3+'Option Matrix'!H6*$C$3+'Option Matrix'!I6*$D$3+'Option Matrix'!J6*$E$3+'Option Matrix'!K6*$F$3+'Option Matrix'!L6*$G$3+'Option Matrix'!M6*$H$3+'Option Matrix'!N6*$I$3+'Option Matrix'!O6*$J$3+'Option Matrix'!P6*$K$3-1)/8*100,6)</x:f>
        <x:v>88.197157</x:v>
      </x:c>
      <x:c r="D14" s="483" t="n">
        <x:f>RANK(C14,$C$11:$C$33,0)</x:f>
        <x:v>4</x:v>
      </x:c>
      <x:c r="E14" s="530" t="n">
        <x:f>ROUND(('Option Matrix'!G6*$B$4+'Option Matrix'!H6*$C$4+'Option Matrix'!I6*$D$4+'Option Matrix'!J6*$E$4+'Option Matrix'!K6*$F$4+'Option Matrix'!L6*$G$4+'Option Matrix'!M6*$H$4+'Option Matrix'!N6*$I$4+'Option Matrix'!O6*$J$4+'Option Matrix'!P6*$K$4-1)/8*100,6)</x:f>
        <x:v>90.875</x:v>
      </x:c>
      <x:c r="F14" s="483" t="n">
        <x:f>RANK(E14,$E$11:$E$33,0)</x:f>
        <x:v>5</x:v>
      </x:c>
      <x:c r="G14" s="530" t="n">
        <x:f>ROUND(('Option Matrix'!G6*$B$5+'Option Matrix'!H6*$C$5+'Option Matrix'!I6*$D$5+'Option Matrix'!J6*$E$5+'Option Matrix'!K6*$F$5+'Option Matrix'!L6*$G$5+'Option Matrix'!M6*$H$5+'Option Matrix'!N6*$I$5+'Option Matrix'!O6*$J$5+'Option Matrix'!P6*$K$5-1)/8*100,6)</x:f>
        <x:v>82.875</x:v>
      </x:c>
      <x:c r="H14" s="483" t="n">
        <x:f>RANK(G14,$G$11:$G$33,0)</x:f>
        <x:v>11</x:v>
      </x:c>
      <x:c r="I14" s="530" t="n">
        <x:f>ROUND(('Option Matrix'!G6*$B$6+'Option Matrix'!H6*$C$6+'Option Matrix'!I6*$D$6+'Option Matrix'!J6*$E$6+'Option Matrix'!K6*$F$6+'Option Matrix'!L6*$G$6+'Option Matrix'!M6*$H$6+'Option Matrix'!N6*$I$6+'Option Matrix'!O6*$J$6+'Option Matrix'!P6*$K$6-1)/8*100,6)</x:f>
        <x:v>86.5</x:v>
      </x:c>
      <x:c r="J14" s="483" t="n">
        <x:f>RANK(I14,$I$11:$I$33,0)</x:f>
        <x:v>5</x:v>
      </x:c>
      <x:c r="K14" s="530" t="n">
        <x:f>ROUND(('Option Matrix'!G6*$B$7+'Option Matrix'!H6*$C$7+'Option Matrix'!I6*$D$7+'Option Matrix'!J6*$E$7+'Option Matrix'!K6*$F$7+'Option Matrix'!L6*$G$7+'Option Matrix'!M6*$H$7+'Option Matrix'!N6*$I$7+'Option Matrix'!O6*$J$7+'Option Matrix'!P6*$K$7-1)/8*100,6)</x:f>
        <x:v>92.375</x:v>
      </x:c>
      <x:c r="L14" s="483" t="n">
        <x:f>RANK(K14,$K$11:$K$33,0)</x:f>
        <x:v>4</x:v>
      </x:c>
      <x:c r="M14" s="776" t="str">
        <x:f>MIN(D14,F14,H14,J14,L14)&amp;"–"&amp;MAX(D14,F14,H14,J14,L14)</x:f>
        <x:v>4–11</x:v>
      </x:c>
      <x:c r="N14" s="483"/>
      <x:c r="O14" s="483"/>
      <x:c r="P14" s="483"/>
      <x:c r="Q14" s="483"/>
      <x:c r="R14" s="483"/>
      <x:c r="S14" s="483"/>
      <x:c r="T14" s="483"/>
      <x:c r="U14" s="483"/>
      <x:c r="V14" s="483"/>
      <x:c r="W14" s="483"/>
    </x:row>
    <x:row r="15">
      <x:c r="A15" s="727" t="str">
        <x:v>Native WebAuthn/passkey adapter</x:v>
      </x:c>
      <x:c r="B15" s="529" t="str">
        <x:v>Credential</x:v>
      </x:c>
      <x:c r="C15" s="530" t="n">
        <x:f>ROUND(('Option Matrix'!G7*$B$3+'Option Matrix'!H7*$C$3+'Option Matrix'!I7*$D$3+'Option Matrix'!J7*$E$3+'Option Matrix'!K7*$F$3+'Option Matrix'!L7*$G$3+'Option Matrix'!M7*$H$3+'Option Matrix'!N7*$I$3+'Option Matrix'!O7*$J$3+'Option Matrix'!P7*$K$3-1)/8*100,6)</x:f>
        <x:v>87.415777</x:v>
      </x:c>
      <x:c r="D15" s="483" t="n">
        <x:f>RANK(C15,$C$11:$C$33,0)</x:f>
        <x:v>5</x:v>
      </x:c>
      <x:c r="E15" s="530" t="n">
        <x:f>ROUND(('Option Matrix'!G7*$B$4+'Option Matrix'!H7*$C$4+'Option Matrix'!I7*$D$4+'Option Matrix'!J7*$E$4+'Option Matrix'!K7*$F$4+'Option Matrix'!L7*$G$4+'Option Matrix'!M7*$H$4+'Option Matrix'!N7*$I$4+'Option Matrix'!O7*$J$4+'Option Matrix'!P7*$K$4-1)/8*100,6)</x:f>
        <x:v>91.25</x:v>
      </x:c>
      <x:c r="F15" s="483" t="n">
        <x:f>RANK(E15,$E$11:$E$33,0)</x:f>
        <x:v>4</x:v>
      </x:c>
      <x:c r="G15" s="530" t="n">
        <x:f>ROUND(('Option Matrix'!G7*$B$5+'Option Matrix'!H7*$C$5+'Option Matrix'!I7*$D$5+'Option Matrix'!J7*$E$5+'Option Matrix'!K7*$F$5+'Option Matrix'!L7*$G$5+'Option Matrix'!M7*$H$5+'Option Matrix'!N7*$I$5+'Option Matrix'!O7*$J$5+'Option Matrix'!P7*$K$5-1)/8*100,6)</x:f>
        <x:v>81.375</x:v>
      </x:c>
      <x:c r="H15" s="483" t="n">
        <x:f>RANK(G15,$G$11:$G$33,0)</x:f>
        <x:v>13</x:v>
      </x:c>
      <x:c r="I15" s="530" t="n">
        <x:f>ROUND(('Option Matrix'!G7*$B$6+'Option Matrix'!H7*$C$6+'Option Matrix'!I7*$D$6+'Option Matrix'!J7*$E$6+'Option Matrix'!K7*$F$6+'Option Matrix'!L7*$G$6+'Option Matrix'!M7*$H$6+'Option Matrix'!N7*$I$6+'Option Matrix'!O7*$J$6+'Option Matrix'!P7*$K$6-1)/8*100,6)</x:f>
        <x:v>93.75</x:v>
      </x:c>
      <x:c r="J15" s="483" t="n">
        <x:f>RANK(I15,$I$11:$I$33,0)</x:f>
        <x:v>2</x:v>
      </x:c>
      <x:c r="K15" s="530" t="n">
        <x:f>ROUND(('Option Matrix'!G7*$B$7+'Option Matrix'!H7*$C$7+'Option Matrix'!I7*$D$7+'Option Matrix'!J7*$E$7+'Option Matrix'!K7*$F$7+'Option Matrix'!L7*$G$7+'Option Matrix'!M7*$H$7+'Option Matrix'!N7*$I$7+'Option Matrix'!O7*$J$7+'Option Matrix'!P7*$K$7-1)/8*100,6)</x:f>
        <x:v>91.25</x:v>
      </x:c>
      <x:c r="L15" s="483" t="n">
        <x:f>RANK(K15,$K$11:$K$33,0)</x:f>
        <x:v>5</x:v>
      </x:c>
      <x:c r="M15" s="776" t="str">
        <x:f>MIN(D15,F15,H15,J15,L15)&amp;"–"&amp;MAX(D15,F15,H15,J15,L15)</x:f>
        <x:v>2–13</x:v>
      </x:c>
      <x:c r="N15" s="483"/>
      <x:c r="O15" s="483"/>
      <x:c r="P15" s="483"/>
      <x:c r="Q15" s="483"/>
      <x:c r="R15" s="483"/>
      <x:c r="S15" s="483"/>
      <x:c r="T15" s="483"/>
      <x:c r="U15" s="483"/>
      <x:c r="V15" s="483"/>
      <x:c r="W15" s="483"/>
    </x:row>
    <x:row r="16">
      <x:c r="A16" s="727" t="str">
        <x:v>Telegram Mini App initData</x:v>
      </x:c>
      <x:c r="B16" s="529" t="str">
        <x:v>Chat/social</x:v>
      </x:c>
      <x:c r="C16" s="530" t="n">
        <x:f>ROUND(('Option Matrix'!G8*$B$3+'Option Matrix'!H8*$C$3+'Option Matrix'!I8*$D$3+'Option Matrix'!J8*$E$3+'Option Matrix'!K8*$F$3+'Option Matrix'!L8*$G$3+'Option Matrix'!M8*$H$3+'Option Matrix'!N8*$I$3+'Option Matrix'!O8*$J$3+'Option Matrix'!P8*$K$3-1)/8*100,6)</x:f>
        <x:v>86.355335</x:v>
      </x:c>
      <x:c r="D16" s="483" t="n">
        <x:f>RANK(C16,$C$11:$C$33,0)</x:f>
        <x:v>6</x:v>
      </x:c>
      <x:c r="E16" s="530" t="n">
        <x:f>ROUND(('Option Matrix'!G8*$B$4+'Option Matrix'!H8*$C$4+'Option Matrix'!I8*$D$4+'Option Matrix'!J8*$E$4+'Option Matrix'!K8*$F$4+'Option Matrix'!L8*$G$4+'Option Matrix'!M8*$H$4+'Option Matrix'!N8*$I$4+'Option Matrix'!O8*$J$4+'Option Matrix'!P8*$K$4-1)/8*100,6)</x:f>
        <x:v>88.375</x:v>
      </x:c>
      <x:c r="F16" s="483" t="n">
        <x:f>RANK(E16,$E$11:$E$33,0)</x:f>
        <x:v>6</x:v>
      </x:c>
      <x:c r="G16" s="530" t="n">
        <x:f>ROUND(('Option Matrix'!G8*$B$5+'Option Matrix'!H8*$C$5+'Option Matrix'!I8*$D$5+'Option Matrix'!J8*$E$5+'Option Matrix'!K8*$F$5+'Option Matrix'!L8*$G$5+'Option Matrix'!M8*$H$5+'Option Matrix'!N8*$I$5+'Option Matrix'!O8*$J$5+'Option Matrix'!P8*$K$5-1)/8*100,6)</x:f>
        <x:v>83.75</x:v>
      </x:c>
      <x:c r="H16" s="483" t="n">
        <x:f>RANK(G16,$G$11:$G$33,0)</x:f>
        <x:v>8</x:v>
      </x:c>
      <x:c r="I16" s="530" t="n">
        <x:f>ROUND(('Option Matrix'!G8*$B$6+'Option Matrix'!H8*$C$6+'Option Matrix'!I8*$D$6+'Option Matrix'!J8*$E$6+'Option Matrix'!K8*$F$6+'Option Matrix'!L8*$G$6+'Option Matrix'!M8*$H$6+'Option Matrix'!N8*$I$6+'Option Matrix'!O8*$J$6+'Option Matrix'!P8*$K$6-1)/8*100,6)</x:f>
        <x:v>81.75</x:v>
      </x:c>
      <x:c r="J16" s="483" t="n">
        <x:f>RANK(I16,$I$11:$I$33,0)</x:f>
        <x:v>7</x:v>
      </x:c>
      <x:c r="K16" s="530" t="n">
        <x:f>ROUND(('Option Matrix'!G8*$B$7+'Option Matrix'!H8*$C$7+'Option Matrix'!I8*$D$7+'Option Matrix'!J8*$E$7+'Option Matrix'!K8*$F$7+'Option Matrix'!L8*$G$7+'Option Matrix'!M8*$H$7+'Option Matrix'!N8*$I$7+'Option Matrix'!O8*$J$7+'Option Matrix'!P8*$K$7-1)/8*100,6)</x:f>
        <x:v>89.375</x:v>
      </x:c>
      <x:c r="L16" s="483" t="n">
        <x:f>RANK(K16,$K$11:$K$33,0)</x:f>
        <x:v>6</x:v>
      </x:c>
      <x:c r="M16" s="776" t="str">
        <x:f>MIN(D16,F16,H16,J16,L16)&amp;"–"&amp;MAX(D16,F16,H16,J16,L16)</x:f>
        <x:v>6–8</x:v>
      </x:c>
      <x:c r="N16" s="483"/>
      <x:c r="O16" s="483"/>
      <x:c r="P16" s="483"/>
      <x:c r="Q16" s="483"/>
      <x:c r="R16" s="483"/>
      <x:c r="S16" s="483"/>
      <x:c r="T16" s="483"/>
      <x:c r="U16" s="483"/>
      <x:c r="V16" s="483"/>
      <x:c r="W16" s="483"/>
    </x:row>
    <x:row r="17">
      <x:c r="A17" s="727" t="str">
        <x:v>Privy</x:v>
      </x:c>
      <x:c r="B17" s="529" t="str">
        <x:v>Managed vendor</x:v>
      </x:c>
      <x:c r="C17" s="530" t="n">
        <x:f>ROUND(('Option Matrix'!G9*$B$3+'Option Matrix'!H9*$C$3+'Option Matrix'!I9*$D$3+'Option Matrix'!J9*$E$3+'Option Matrix'!K9*$F$3+'Option Matrix'!L9*$G$3+'Option Matrix'!M9*$H$3+'Option Matrix'!N9*$I$3+'Option Matrix'!O9*$J$3+'Option Matrix'!P9*$K$3-1)/8*100,6)</x:f>
        <x:v>85.297844</x:v>
      </x:c>
      <x:c r="D17" s="483" t="n">
        <x:f>RANK(C17,$C$11:$C$33,0)</x:f>
        <x:v>7</x:v>
      </x:c>
      <x:c r="E17" s="530" t="n">
        <x:f>ROUND(('Option Matrix'!G9*$B$4+'Option Matrix'!H9*$C$4+'Option Matrix'!I9*$D$4+'Option Matrix'!J9*$E$4+'Option Matrix'!K9*$F$4+'Option Matrix'!L9*$G$4+'Option Matrix'!M9*$H$4+'Option Matrix'!N9*$I$4+'Option Matrix'!O9*$J$4+'Option Matrix'!P9*$K$4-1)/8*100,6)</x:f>
        <x:v>78.375</x:v>
      </x:c>
      <x:c r="F17" s="483" t="n">
        <x:f>RANK(E17,$E$11:$E$33,0)</x:f>
        <x:v>11</x:v>
      </x:c>
      <x:c r="G17" s="530" t="n">
        <x:f>ROUND(('Option Matrix'!G9*$B$5+'Option Matrix'!H9*$C$5+'Option Matrix'!I9*$D$5+'Option Matrix'!J9*$E$5+'Option Matrix'!K9*$F$5+'Option Matrix'!L9*$G$5+'Option Matrix'!M9*$H$5+'Option Matrix'!N9*$I$5+'Option Matrix'!O9*$J$5+'Option Matrix'!P9*$K$5-1)/8*100,6)</x:f>
        <x:v>94</x:v>
      </x:c>
      <x:c r="H17" s="483" t="n">
        <x:f>RANK(G17,$G$11:$G$33,0)</x:f>
        <x:v>1</x:v>
      </x:c>
      <x:c r="I17" s="530" t="n">
        <x:f>ROUND(('Option Matrix'!G9*$B$6+'Option Matrix'!H9*$C$6+'Option Matrix'!I9*$D$6+'Option Matrix'!J9*$E$6+'Option Matrix'!K9*$F$6+'Option Matrix'!L9*$G$6+'Option Matrix'!M9*$H$6+'Option Matrix'!N9*$I$6+'Option Matrix'!O9*$J$6+'Option Matrix'!P9*$K$6-1)/8*100,6)</x:f>
        <x:v>81.125</x:v>
      </x:c>
      <x:c r="J17" s="483" t="n">
        <x:f>RANK(I17,$I$11:$I$33,0)</x:f>
        <x:v>9</x:v>
      </x:c>
      <x:c r="K17" s="530" t="n">
        <x:f>ROUND(('Option Matrix'!G9*$B$7+'Option Matrix'!H9*$C$7+'Option Matrix'!I9*$D$7+'Option Matrix'!J9*$E$7+'Option Matrix'!K9*$F$7+'Option Matrix'!L9*$G$7+'Option Matrix'!M9*$H$7+'Option Matrix'!N9*$I$7+'Option Matrix'!O9*$J$7+'Option Matrix'!P9*$K$7-1)/8*100,6)</x:f>
        <x:v>80.5</x:v>
      </x:c>
      <x:c r="L17" s="483" t="n">
        <x:f>RANK(K17,$K$11:$K$33,0)</x:f>
        <x:v>11</x:v>
      </x:c>
      <x:c r="M17" s="776" t="str">
        <x:f>MIN(D17,F17,H17,J17,L17)&amp;"–"&amp;MAX(D17,F17,H17,J17,L17)</x:f>
        <x:v>1–11</x:v>
      </x:c>
      <x:c r="N17" s="483"/>
      <x:c r="O17" s="483"/>
      <x:c r="P17" s="483"/>
      <x:c r="Q17" s="483"/>
      <x:c r="R17" s="483"/>
      <x:c r="S17" s="483"/>
      <x:c r="T17" s="483"/>
      <x:c r="U17" s="483"/>
      <x:c r="V17" s="483"/>
      <x:c r="W17" s="483"/>
    </x:row>
    <x:row r="18">
      <x:c r="A18" s="727" t="str">
        <x:v>Dynamic</x:v>
      </x:c>
      <x:c r="B18" s="529" t="str">
        <x:v>Managed vendor</x:v>
      </x:c>
      <x:c r="C18" s="530" t="n">
        <x:f>ROUND(('Option Matrix'!G10*$B$3+'Option Matrix'!H10*$C$3+'Option Matrix'!I10*$D$3+'Option Matrix'!J10*$E$3+'Option Matrix'!K10*$F$3+'Option Matrix'!L10*$G$3+'Option Matrix'!M10*$H$3+'Option Matrix'!N10*$I$3+'Option Matrix'!O10*$J$3+'Option Matrix'!P10*$K$3-1)/8*100,6)</x:f>
        <x:v>83.657523</x:v>
      </x:c>
      <x:c r="D18" s="483" t="n">
        <x:f>RANK(C18,$C$11:$C$33,0)</x:f>
        <x:v>8</x:v>
      </x:c>
      <x:c r="E18" s="530" t="n">
        <x:f>ROUND(('Option Matrix'!G10*$B$4+'Option Matrix'!H10*$C$4+'Option Matrix'!I10*$D$4+'Option Matrix'!J10*$E$4+'Option Matrix'!K10*$F$4+'Option Matrix'!L10*$G$4+'Option Matrix'!M10*$H$4+'Option Matrix'!N10*$I$4+'Option Matrix'!O10*$J$4+'Option Matrix'!P10*$K$4-1)/8*100,6)</x:f>
        <x:v>76.125</x:v>
      </x:c>
      <x:c r="F18" s="483" t="n">
        <x:f>RANK(E18,$E$11:$E$33,0)</x:f>
        <x:v>14</x:v>
      </x:c>
      <x:c r="G18" s="530" t="n">
        <x:f>ROUND(('Option Matrix'!G10*$B$5+'Option Matrix'!H10*$C$5+'Option Matrix'!I10*$D$5+'Option Matrix'!J10*$E$5+'Option Matrix'!K10*$F$5+'Option Matrix'!L10*$G$5+'Option Matrix'!M10*$H$5+'Option Matrix'!N10*$I$5+'Option Matrix'!O10*$J$5+'Option Matrix'!P10*$K$5-1)/8*100,6)</x:f>
        <x:v>93.625</x:v>
      </x:c>
      <x:c r="H18" s="483" t="n">
        <x:f>RANK(G18,$G$11:$G$33,0)</x:f>
        <x:v>2</x:v>
      </x:c>
      <x:c r="I18" s="530" t="n">
        <x:f>ROUND(('Option Matrix'!G10*$B$6+'Option Matrix'!H10*$C$6+'Option Matrix'!I10*$D$6+'Option Matrix'!J10*$E$6+'Option Matrix'!K10*$F$6+'Option Matrix'!L10*$G$6+'Option Matrix'!M10*$H$6+'Option Matrix'!N10*$I$6+'Option Matrix'!O10*$J$6+'Option Matrix'!P10*$K$6-1)/8*100,6)</x:f>
        <x:v>80.125</x:v>
      </x:c>
      <x:c r="J18" s="483" t="n">
        <x:f>RANK(I18,$I$11:$I$33,0)</x:f>
        <x:v>11</x:v>
      </x:c>
      <x:c r="K18" s="530" t="n">
        <x:f>ROUND(('Option Matrix'!G10*$B$7+'Option Matrix'!H10*$C$7+'Option Matrix'!I10*$D$7+'Option Matrix'!J10*$E$7+'Option Matrix'!K10*$F$7+'Option Matrix'!L10*$G$7+'Option Matrix'!M10*$H$7+'Option Matrix'!N10*$I$7+'Option Matrix'!O10*$J$7+'Option Matrix'!P10*$K$7-1)/8*100,6)</x:f>
        <x:v>77.375</x:v>
      </x:c>
      <x:c r="L18" s="483" t="n">
        <x:f>RANK(K18,$K$11:$K$33,0)</x:f>
        <x:v>14</x:v>
      </x:c>
      <x:c r="M18" s="776" t="str">
        <x:f>MIN(D18,F18,H18,J18,L18)&amp;"–"&amp;MAX(D18,F18,H18,J18,L18)</x:f>
        <x:v>2–14</x:v>
      </x:c>
      <x:c r="N18" s="483"/>
      <x:c r="O18" s="483"/>
      <x:c r="P18" s="483"/>
      <x:c r="Q18" s="483"/>
      <x:c r="R18" s="483"/>
      <x:c r="S18" s="483"/>
      <x:c r="T18" s="483"/>
      <x:c r="U18" s="483"/>
      <x:c r="V18" s="483"/>
      <x:c r="W18" s="483"/>
    </x:row>
    <x:row r="19">
      <x:c r="A19" s="727" t="str">
        <x:v>Reown SIWX + One-Click Auth</x:v>
      </x:c>
      <x:c r="B19" s="529" t="str">
        <x:v>Wallet UX</x:v>
      </x:c>
      <x:c r="C19" s="530" t="n">
        <x:f>ROUND(('Option Matrix'!G11*$B$3+'Option Matrix'!H11*$C$3+'Option Matrix'!I11*$D$3+'Option Matrix'!J11*$E$3+'Option Matrix'!K11*$F$3+'Option Matrix'!L11*$G$3+'Option Matrix'!M11*$H$3+'Option Matrix'!N11*$I$3+'Option Matrix'!O11*$J$3+'Option Matrix'!P11*$K$3-1)/8*100,6)</x:f>
        <x:v>83.546733</x:v>
      </x:c>
      <x:c r="D19" s="483" t="n">
        <x:f>RANK(C19,$C$11:$C$33,0)</x:f>
        <x:v>9</x:v>
      </x:c>
      <x:c r="E19" s="530" t="n">
        <x:f>ROUND(('Option Matrix'!G11*$B$4+'Option Matrix'!H11*$C$4+'Option Matrix'!I11*$D$4+'Option Matrix'!J11*$E$4+'Option Matrix'!K11*$F$4+'Option Matrix'!L11*$G$4+'Option Matrix'!M11*$H$4+'Option Matrix'!N11*$I$4+'Option Matrix'!O11*$J$4+'Option Matrix'!P11*$K$4-1)/8*100,6)</x:f>
        <x:v>82.25</x:v>
      </x:c>
      <x:c r="F19" s="483" t="n">
        <x:f>RANK(E19,$E$11:$E$33,0)</x:f>
        <x:v>9</x:v>
      </x:c>
      <x:c r="G19" s="530" t="n">
        <x:f>ROUND(('Option Matrix'!G11*$B$5+'Option Matrix'!H11*$C$5+'Option Matrix'!I11*$D$5+'Option Matrix'!J11*$E$5+'Option Matrix'!K11*$F$5+'Option Matrix'!L11*$G$5+'Option Matrix'!M11*$H$5+'Option Matrix'!N11*$I$5+'Option Matrix'!O11*$J$5+'Option Matrix'!P11*$K$5-1)/8*100,6)</x:f>
        <x:v>83.75</x:v>
      </x:c>
      <x:c r="H19" s="483" t="n">
        <x:f>RANK(G19,$G$11:$G$33,0)</x:f>
        <x:v>8</x:v>
      </x:c>
      <x:c r="I19" s="530" t="n">
        <x:f>ROUND(('Option Matrix'!G11*$B$6+'Option Matrix'!H11*$C$6+'Option Matrix'!I11*$D$6+'Option Matrix'!J11*$E$6+'Option Matrix'!K11*$F$6+'Option Matrix'!L11*$G$6+'Option Matrix'!M11*$H$6+'Option Matrix'!N11*$I$6+'Option Matrix'!O11*$J$6+'Option Matrix'!P11*$K$6-1)/8*100,6)</x:f>
        <x:v>81.125</x:v>
      </x:c>
      <x:c r="J19" s="483" t="n">
        <x:f>RANK(I19,$I$11:$I$33,0)</x:f>
        <x:v>9</x:v>
      </x:c>
      <x:c r="K19" s="530" t="n">
        <x:f>ROUND(('Option Matrix'!G11*$B$7+'Option Matrix'!H11*$C$7+'Option Matrix'!I11*$D$7+'Option Matrix'!J11*$E$7+'Option Matrix'!K11*$F$7+'Option Matrix'!L11*$G$7+'Option Matrix'!M11*$H$7+'Option Matrix'!N11*$I$7+'Option Matrix'!O11*$J$7+'Option Matrix'!P11*$K$7-1)/8*100,6)</x:f>
        <x:v>82.5</x:v>
      </x:c>
      <x:c r="L19" s="483" t="n">
        <x:f>RANK(K19,$K$11:$K$33,0)</x:f>
        <x:v>9</x:v>
      </x:c>
      <x:c r="M19" s="776" t="str">
        <x:f>MIN(D19,F19,H19,J19,L19)&amp;"–"&amp;MAX(D19,F19,H19,J19,L19)</x:f>
        <x:v>8–9</x:v>
      </x:c>
      <x:c r="N19" s="483"/>
      <x:c r="O19" s="483"/>
      <x:c r="P19" s="483"/>
      <x:c r="Q19" s="483"/>
      <x:c r="R19" s="483"/>
      <x:c r="S19" s="483"/>
      <x:c r="T19" s="483"/>
      <x:c r="U19" s="483"/>
      <x:c r="V19" s="483"/>
      <x:c r="W19" s="483"/>
    </x:row>
    <x:row r="20">
      <x:c r="A20" s="727" t="str">
        <x:v>Better Auth as credential-adapter plane</x:v>
      </x:c>
      <x:c r="B20" s="529" t="str">
        <x:v>Foundation</x:v>
      </x:c>
      <x:c r="C20" s="530" t="n">
        <x:f>ROUND(('Option Matrix'!G12*$B$3+'Option Matrix'!H12*$C$3+'Option Matrix'!I12*$D$3+'Option Matrix'!J12*$E$3+'Option Matrix'!K12*$F$3+'Option Matrix'!L12*$G$3+'Option Matrix'!M12*$H$3+'Option Matrix'!N12*$I$3+'Option Matrix'!O12*$J$3+'Option Matrix'!P12*$K$3-1)/8*100,6)</x:f>
        <x:v>83.403104</x:v>
      </x:c>
      <x:c r="D20" s="483" t="n">
        <x:f>RANK(C20,$C$11:$C$33,0)</x:f>
        <x:v>10</x:v>
      </x:c>
      <x:c r="E20" s="530" t="n">
        <x:f>ROUND(('Option Matrix'!G12*$B$4+'Option Matrix'!H12*$C$4+'Option Matrix'!I12*$D$4+'Option Matrix'!J12*$E$4+'Option Matrix'!K12*$F$4+'Option Matrix'!L12*$G$4+'Option Matrix'!M12*$H$4+'Option Matrix'!N12*$I$4+'Option Matrix'!O12*$J$4+'Option Matrix'!P12*$K$4-1)/8*100,6)</x:f>
        <x:v>84</x:v>
      </x:c>
      <x:c r="F20" s="483" t="n">
        <x:f>RANK(E20,$E$11:$E$33,0)</x:f>
        <x:v>8</x:v>
      </x:c>
      <x:c r="G20" s="530" t="n">
        <x:f>ROUND(('Option Matrix'!G12*$B$5+'Option Matrix'!H12*$C$5+'Option Matrix'!I12*$D$5+'Option Matrix'!J12*$E$5+'Option Matrix'!K12*$F$5+'Option Matrix'!L12*$G$5+'Option Matrix'!M12*$H$5+'Option Matrix'!N12*$I$5+'Option Matrix'!O12*$J$5+'Option Matrix'!P12*$K$5-1)/8*100,6)</x:f>
        <x:v>82.625</x:v>
      </x:c>
      <x:c r="H20" s="483" t="n">
        <x:f>RANK(G20,$G$11:$G$33,0)</x:f>
        <x:v>12</x:v>
      </x:c>
      <x:c r="I20" s="530" t="n">
        <x:f>ROUND(('Option Matrix'!G12*$B$6+'Option Matrix'!H12*$C$6+'Option Matrix'!I12*$D$6+'Option Matrix'!J12*$E$6+'Option Matrix'!K12*$F$6+'Option Matrix'!L12*$G$6+'Option Matrix'!M12*$H$6+'Option Matrix'!N12*$I$6+'Option Matrix'!O12*$J$6+'Option Matrix'!P12*$K$6-1)/8*100,6)</x:f>
        <x:v>82.25</x:v>
      </x:c>
      <x:c r="J20" s="483" t="n">
        <x:f>RANK(I20,$I$11:$I$33,0)</x:f>
        <x:v>6</x:v>
      </x:c>
      <x:c r="K20" s="530" t="n">
        <x:f>ROUND(('Option Matrix'!G12*$B$7+'Option Matrix'!H12*$C$7+'Option Matrix'!I12*$D$7+'Option Matrix'!J12*$E$7+'Option Matrix'!K12*$F$7+'Option Matrix'!L12*$G$7+'Option Matrix'!M12*$H$7+'Option Matrix'!N12*$I$7+'Option Matrix'!O12*$J$7+'Option Matrix'!P12*$K$7-1)/8*100,6)</x:f>
        <x:v>84.375</x:v>
      </x:c>
      <x:c r="L20" s="483" t="n">
        <x:f>RANK(K20,$K$11:$K$33,0)</x:f>
        <x:v>8</x:v>
      </x:c>
      <x:c r="M20" s="776" t="str">
        <x:f>MIN(D20,F20,H20,J20,L20)&amp;"–"&amp;MAX(D20,F20,H20,J20,L20)</x:f>
        <x:v>6–12</x:v>
      </x:c>
      <x:c r="N20" s="483"/>
      <x:c r="O20" s="483"/>
      <x:c r="P20" s="483"/>
      <x:c r="Q20" s="483"/>
      <x:c r="R20" s="483"/>
      <x:c r="S20" s="483"/>
      <x:c r="T20" s="483"/>
      <x:c r="U20" s="483"/>
      <x:c r="V20" s="483"/>
      <x:c r="W20" s="483"/>
    </x:row>
    <x:row r="21">
      <x:c r="A21" s="727" t="str">
        <x:v>MetaMask Embedded Wallets/Web3Auth</x:v>
      </x:c>
      <x:c r="B21" s="529" t="str">
        <x:v>Managed vendor</x:v>
      </x:c>
      <x:c r="C21" s="530" t="n">
        <x:f>ROUND(('Option Matrix'!G13*$B$3+'Option Matrix'!H13*$C$3+'Option Matrix'!I13*$D$3+'Option Matrix'!J13*$E$3+'Option Matrix'!K13*$F$3+'Option Matrix'!L13*$G$3+'Option Matrix'!M13*$H$3+'Option Matrix'!N13*$I$3+'Option Matrix'!O13*$J$3+'Option Matrix'!P13*$K$3-1)/8*100,6)</x:f>
        <x:v>81.216152</x:v>
      </x:c>
      <x:c r="D21" s="483" t="n">
        <x:f>RANK(C21,$C$11:$C$33,0)</x:f>
        <x:v>11</x:v>
      </x:c>
      <x:c r="E21" s="530" t="n">
        <x:f>ROUND(('Option Matrix'!G13*$B$4+'Option Matrix'!H13*$C$4+'Option Matrix'!I13*$D$4+'Option Matrix'!J13*$E$4+'Option Matrix'!K13*$F$4+'Option Matrix'!L13*$G$4+'Option Matrix'!M13*$H$4+'Option Matrix'!N13*$I$4+'Option Matrix'!O13*$J$4+'Option Matrix'!P13*$K$4-1)/8*100,6)</x:f>
        <x:v>77.5</x:v>
      </x:c>
      <x:c r="F21" s="483" t="n">
        <x:f>RANK(E21,$E$11:$E$33,0)</x:f>
        <x:v>13</x:v>
      </x:c>
      <x:c r="G21" s="530" t="n">
        <x:f>ROUND(('Option Matrix'!G13*$B$5+'Option Matrix'!H13*$C$5+'Option Matrix'!I13*$D$5+'Option Matrix'!J13*$E$5+'Option Matrix'!K13*$F$5+'Option Matrix'!L13*$G$5+'Option Matrix'!M13*$H$5+'Option Matrix'!N13*$I$5+'Option Matrix'!O13*$J$5+'Option Matrix'!P13*$K$5-1)/8*100,6)</x:f>
        <x:v>85.125</x:v>
      </x:c>
      <x:c r="H21" s="483" t="n">
        <x:f>RANK(G21,$G$11:$G$33,0)</x:f>
        <x:v>6</x:v>
      </x:c>
      <x:c r="I21" s="530" t="n">
        <x:f>ROUND(('Option Matrix'!G13*$B$6+'Option Matrix'!H13*$C$6+'Option Matrix'!I13*$D$6+'Option Matrix'!J13*$E$6+'Option Matrix'!K13*$F$6+'Option Matrix'!L13*$G$6+'Option Matrix'!M13*$H$6+'Option Matrix'!N13*$I$6+'Option Matrix'!O13*$J$6+'Option Matrix'!P13*$K$6-1)/8*100,6)</x:f>
        <x:v>78.875</x:v>
      </x:c>
      <x:c r="J21" s="483" t="n">
        <x:f>RANK(I21,$I$11:$I$33,0)</x:f>
        <x:v>13</x:v>
      </x:c>
      <x:c r="K21" s="530" t="n">
        <x:f>ROUND(('Option Matrix'!G13*$B$7+'Option Matrix'!H13*$C$7+'Option Matrix'!I13*$D$7+'Option Matrix'!J13*$E$7+'Option Matrix'!K13*$F$7+'Option Matrix'!L13*$G$7+'Option Matrix'!M13*$H$7+'Option Matrix'!N13*$I$7+'Option Matrix'!O13*$J$7+'Option Matrix'!P13*$K$7-1)/8*100,6)</x:f>
        <x:v>79.125</x:v>
      </x:c>
      <x:c r="L21" s="483" t="n">
        <x:f>RANK(K21,$K$11:$K$33,0)</x:f>
        <x:v>13</x:v>
      </x:c>
      <x:c r="M21" s="776" t="str">
        <x:f>MIN(D21,F21,H21,J21,L21)&amp;"–"&amp;MAX(D21,F21,H21,J21,L21)</x:f>
        <x:v>6–13</x:v>
      </x:c>
      <x:c r="N21" s="483"/>
      <x:c r="O21" s="483"/>
      <x:c r="P21" s="483"/>
      <x:c r="Q21" s="483"/>
      <x:c r="R21" s="483"/>
      <x:c r="S21" s="483"/>
      <x:c r="T21" s="483"/>
      <x:c r="U21" s="483"/>
      <x:c r="V21" s="483"/>
      <x:c r="W21" s="483"/>
    </x:row>
    <x:row r="22">
      <x:c r="A22" s="727" t="str">
        <x:v>Coinbase CDP Embedded Wallets</x:v>
      </x:c>
      <x:c r="B22" s="529" t="str">
        <x:v>Managed vendor</x:v>
      </x:c>
      <x:c r="C22" s="530" t="n">
        <x:f>ROUND(('Option Matrix'!G14*$B$3+'Option Matrix'!H14*$C$3+'Option Matrix'!I14*$D$3+'Option Matrix'!J14*$E$3+'Option Matrix'!K14*$F$3+'Option Matrix'!L14*$G$3+'Option Matrix'!M14*$H$3+'Option Matrix'!N14*$I$3+'Option Matrix'!O14*$J$3+'Option Matrix'!P14*$K$3-1)/8*100,6)</x:f>
        <x:v>80.827736</x:v>
      </x:c>
      <x:c r="D22" s="483" t="n">
        <x:f>RANK(C22,$C$11:$C$33,0)</x:f>
        <x:v>12</x:v>
      </x:c>
      <x:c r="E22" s="530" t="n">
        <x:f>ROUND(('Option Matrix'!G14*$B$4+'Option Matrix'!H14*$C$4+'Option Matrix'!I14*$D$4+'Option Matrix'!J14*$E$4+'Option Matrix'!K14*$F$4+'Option Matrix'!L14*$G$4+'Option Matrix'!M14*$H$4+'Option Matrix'!N14*$I$4+'Option Matrix'!O14*$J$4+'Option Matrix'!P14*$K$4-1)/8*100,6)</x:f>
        <x:v>75</x:v>
      </x:c>
      <x:c r="F22" s="483" t="n">
        <x:f>RANK(E22,$E$11:$E$33,0)</x:f>
        <x:v>16</x:v>
      </x:c>
      <x:c r="G22" s="530" t="n">
        <x:f>ROUND(('Option Matrix'!G14*$B$5+'Option Matrix'!H14*$C$5+'Option Matrix'!I14*$D$5+'Option Matrix'!J14*$E$5+'Option Matrix'!K14*$F$5+'Option Matrix'!L14*$G$5+'Option Matrix'!M14*$H$5+'Option Matrix'!N14*$I$5+'Option Matrix'!O14*$J$5+'Option Matrix'!P14*$K$5-1)/8*100,6)</x:f>
        <x:v>87</x:v>
      </x:c>
      <x:c r="H22" s="483" t="n">
        <x:f>RANK(G22,$G$11:$G$33,0)</x:f>
        <x:v>3</x:v>
      </x:c>
      <x:c r="I22" s="530" t="n">
        <x:f>ROUND(('Option Matrix'!G14*$B$6+'Option Matrix'!H14*$C$6+'Option Matrix'!I14*$D$6+'Option Matrix'!J14*$E$6+'Option Matrix'!K14*$F$6+'Option Matrix'!L14*$G$6+'Option Matrix'!M14*$H$6+'Option Matrix'!N14*$I$6+'Option Matrix'!O14*$J$6+'Option Matrix'!P14*$K$6-1)/8*100,6)</x:f>
        <x:v>77.625</x:v>
      </x:c>
      <x:c r="J22" s="483" t="n">
        <x:f>RANK(I22,$I$11:$I$33,0)</x:f>
        <x:v>15</x:v>
      </x:c>
      <x:c r="K22" s="530" t="n">
        <x:f>ROUND(('Option Matrix'!G14*$B$7+'Option Matrix'!H14*$C$7+'Option Matrix'!I14*$D$7+'Option Matrix'!J14*$E$7+'Option Matrix'!K14*$F$7+'Option Matrix'!L14*$G$7+'Option Matrix'!M14*$H$7+'Option Matrix'!N14*$I$7+'Option Matrix'!O14*$J$7+'Option Matrix'!P14*$K$7-1)/8*100,6)</x:f>
        <x:v>76</x:v>
      </x:c>
      <x:c r="L22" s="483" t="n">
        <x:f>RANK(K22,$K$11:$K$33,0)</x:f>
        <x:v>15</x:v>
      </x:c>
      <x:c r="M22" s="776" t="str">
        <x:f>MIN(D22,F22,H22,J22,L22)&amp;"–"&amp;MAX(D22,F22,H22,J22,L22)</x:f>
        <x:v>3–16</x:v>
      </x:c>
      <x:c r="N22" s="483"/>
      <x:c r="O22" s="483"/>
      <x:c r="P22" s="483"/>
      <x:c r="Q22" s="483"/>
      <x:c r="R22" s="483"/>
      <x:c r="S22" s="483"/>
      <x:c r="T22" s="483"/>
      <x:c r="U22" s="483"/>
      <x:c r="V22" s="483"/>
      <x:c r="W22" s="483"/>
    </x:row>
    <x:row r="23">
      <x:c r="A23" s="727" t="str">
        <x:v>CAIP-122 SIWx + CAIP-196 CACAO</x:v>
      </x:c>
      <x:c r="B23" s="529" t="str">
        <x:v>Wallet standard</x:v>
      </x:c>
      <x:c r="C23" s="530" t="n">
        <x:f>ROUND(('Option Matrix'!G15*$B$3+'Option Matrix'!H15*$C$3+'Option Matrix'!I15*$D$3+'Option Matrix'!J15*$E$3+'Option Matrix'!K15*$F$3+'Option Matrix'!L15*$G$3+'Option Matrix'!M15*$H$3+'Option Matrix'!N15*$I$3+'Option Matrix'!O15*$J$3+'Option Matrix'!P15*$K$3-1)/8*100,6)</x:f>
        <x:v>79.87859</x:v>
      </x:c>
      <x:c r="D23" s="483" t="n">
        <x:f>RANK(C23,$C$11:$C$33,0)</x:f>
        <x:v>13</x:v>
      </x:c>
      <x:c r="E23" s="530" t="n">
        <x:f>ROUND(('Option Matrix'!G15*$B$4+'Option Matrix'!H15*$C$4+'Option Matrix'!I15*$D$4+'Option Matrix'!J15*$E$4+'Option Matrix'!K15*$F$4+'Option Matrix'!L15*$G$4+'Option Matrix'!M15*$H$4+'Option Matrix'!N15*$I$4+'Option Matrix'!O15*$J$4+'Option Matrix'!P15*$K$4-1)/8*100,6)</x:f>
        <x:v>85.75</x:v>
      </x:c>
      <x:c r="F23" s="483" t="n">
        <x:f>RANK(E23,$E$11:$E$33,0)</x:f>
        <x:v>7</x:v>
      </x:c>
      <x:c r="G23" s="530" t="n">
        <x:f>ROUND(('Option Matrix'!G15*$B$5+'Option Matrix'!H15*$C$5+'Option Matrix'!I15*$D$5+'Option Matrix'!J15*$E$5+'Option Matrix'!K15*$F$5+'Option Matrix'!L15*$G$5+'Option Matrix'!M15*$H$5+'Option Matrix'!N15*$I$5+'Option Matrix'!O15*$J$5+'Option Matrix'!P15*$K$5-1)/8*100,6)</x:f>
        <x:v>68.125</x:v>
      </x:c>
      <x:c r="H23" s="483" t="n">
        <x:f>RANK(G23,$G$11:$G$33,0)</x:f>
        <x:v>16</x:v>
      </x:c>
      <x:c r="I23" s="530" t="n">
        <x:f>ROUND(('Option Matrix'!G15*$B$6+'Option Matrix'!H15*$C$6+'Option Matrix'!I15*$D$6+'Option Matrix'!J15*$E$6+'Option Matrix'!K15*$F$6+'Option Matrix'!L15*$G$6+'Option Matrix'!M15*$H$6+'Option Matrix'!N15*$I$6+'Option Matrix'!O15*$J$6+'Option Matrix'!P15*$K$6-1)/8*100,6)</x:f>
        <x:v>79.25</x:v>
      </x:c>
      <x:c r="J23" s="483" t="n">
        <x:f>RANK(I23,$I$11:$I$33,0)</x:f>
        <x:v>12</x:v>
      </x:c>
      <x:c r="K23" s="530" t="n">
        <x:f>ROUND(('Option Matrix'!G15*$B$7+'Option Matrix'!H15*$C$7+'Option Matrix'!I15*$D$7+'Option Matrix'!J15*$E$7+'Option Matrix'!K15*$F$7+'Option Matrix'!L15*$G$7+'Option Matrix'!M15*$H$7+'Option Matrix'!N15*$I$7+'Option Matrix'!O15*$J$7+'Option Matrix'!P15*$K$7-1)/8*100,6)</x:f>
        <x:v>86.125</x:v>
      </x:c>
      <x:c r="L23" s="483" t="n">
        <x:f>RANK(K23,$K$11:$K$33,0)</x:f>
        <x:v>7</x:v>
      </x:c>
      <x:c r="M23" s="776" t="str">
        <x:f>MIN(D23,F23,H23,J23,L23)&amp;"–"&amp;MAX(D23,F23,H23,J23,L23)</x:f>
        <x:v>7–16</x:v>
      </x:c>
      <x:c r="N23" s="483"/>
      <x:c r="O23" s="483"/>
      <x:c r="P23" s="483"/>
      <x:c r="Q23" s="483"/>
      <x:c r="R23" s="483"/>
      <x:c r="S23" s="483"/>
      <x:c r="T23" s="483"/>
      <x:c r="U23" s="483"/>
      <x:c r="V23" s="483"/>
      <x:c r="W23" s="483"/>
    </x:row>
    <x:row r="24">
      <x:c r="A24" s="727" t="str">
        <x:v>thirdweb In-App Wallets</x:v>
      </x:c>
      <x:c r="B24" s="529" t="str">
        <x:v>Managed vendor</x:v>
      </x:c>
      <x:c r="C24" s="530" t="n">
        <x:f>ROUND(('Option Matrix'!G16*$B$3+'Option Matrix'!H16*$C$3+'Option Matrix'!I16*$D$3+'Option Matrix'!J16*$E$3+'Option Matrix'!K16*$F$3+'Option Matrix'!L16*$G$3+'Option Matrix'!M16*$H$3+'Option Matrix'!N16*$I$3+'Option Matrix'!O16*$J$3+'Option Matrix'!P16*$K$3-1)/8*100,6)</x:f>
        <x:v>76.399999</x:v>
      </x:c>
      <x:c r="D24" s="483" t="n">
        <x:f>RANK(C24,$C$11:$C$33,0)</x:f>
        <x:v>14</x:v>
      </x:c>
      <x:c r="E24" s="530" t="n">
        <x:f>ROUND(('Option Matrix'!G16*$B$4+'Option Matrix'!H16*$C$4+'Option Matrix'!I16*$D$4+'Option Matrix'!J16*$E$4+'Option Matrix'!K16*$F$4+'Option Matrix'!L16*$G$4+'Option Matrix'!M16*$H$4+'Option Matrix'!N16*$I$4+'Option Matrix'!O16*$J$4+'Option Matrix'!P16*$K$4-1)/8*100,6)</x:f>
        <x:v>70.125</x:v>
      </x:c>
      <x:c r="F24" s="483" t="n">
        <x:f>RANK(E24,$E$11:$E$33,0)</x:f>
        <x:v>19</x:v>
      </x:c>
      <x:c r="G24" s="530" t="n">
        <x:f>ROUND(('Option Matrix'!G16*$B$5+'Option Matrix'!H16*$C$5+'Option Matrix'!I16*$D$5+'Option Matrix'!J16*$E$5+'Option Matrix'!K16*$F$5+'Option Matrix'!L16*$G$5+'Option Matrix'!M16*$H$5+'Option Matrix'!N16*$I$5+'Option Matrix'!O16*$J$5+'Option Matrix'!P16*$K$5-1)/8*100,6)</x:f>
        <x:v>85.5</x:v>
      </x:c>
      <x:c r="H24" s="483" t="n">
        <x:f>RANK(G24,$G$11:$G$33,0)</x:f>
        <x:v>4</x:v>
      </x:c>
      <x:c r="I24" s="530" t="n">
        <x:f>ROUND(('Option Matrix'!G16*$B$6+'Option Matrix'!H16*$C$6+'Option Matrix'!I16*$D$6+'Option Matrix'!J16*$E$6+'Option Matrix'!K16*$F$6+'Option Matrix'!L16*$G$6+'Option Matrix'!M16*$H$6+'Option Matrix'!N16*$I$6+'Option Matrix'!O16*$J$6+'Option Matrix'!P16*$K$6-1)/8*100,6)</x:f>
        <x:v>72.125</x:v>
      </x:c>
      <x:c r="J24" s="483" t="n">
        <x:f>RANK(I24,$I$11:$I$33,0)</x:f>
        <x:v>20</x:v>
      </x:c>
      <x:c r="K24" s="530" t="n">
        <x:f>ROUND(('Option Matrix'!G16*$B$7+'Option Matrix'!H16*$C$7+'Option Matrix'!I16*$D$7+'Option Matrix'!J16*$E$7+'Option Matrix'!K16*$F$7+'Option Matrix'!L16*$G$7+'Option Matrix'!M16*$H$7+'Option Matrix'!N16*$I$7+'Option Matrix'!O16*$J$7+'Option Matrix'!P16*$K$7-1)/8*100,6)</x:f>
        <x:v>71.75</x:v>
      </x:c>
      <x:c r="L24" s="483" t="n">
        <x:f>RANK(K24,$K$11:$K$33,0)</x:f>
        <x:v>18</x:v>
      </x:c>
      <x:c r="M24" s="776" t="str">
        <x:f>MIN(D24,F24,H24,J24,L24)&amp;"–"&amp;MAX(D24,F24,H24,J24,L24)</x:f>
        <x:v>4–20</x:v>
      </x:c>
      <x:c r="N24" s="483"/>
      <x:c r="O24" s="483"/>
      <x:c r="P24" s="483"/>
      <x:c r="Q24" s="483"/>
      <x:c r="R24" s="483"/>
      <x:c r="S24" s="483"/>
      <x:c r="T24" s="483"/>
      <x:c r="U24" s="483"/>
      <x:c r="V24" s="483"/>
      <x:c r="W24" s="483"/>
    </x:row>
    <x:row r="25">
      <x:c r="A25" s="727" t="str">
        <x:v>CAIP-222 wallet_authenticate</x:v>
      </x:c>
      <x:c r="B25" s="529" t="str">
        <x:v>Emerging wallet</x:v>
      </x:c>
      <x:c r="C25" s="530" t="n">
        <x:f>ROUND(('Option Matrix'!G17*$B$3+'Option Matrix'!H17*$C$3+'Option Matrix'!I17*$D$3+'Option Matrix'!J17*$E$3+'Option Matrix'!K17*$F$3+'Option Matrix'!L17*$G$3+'Option Matrix'!M17*$H$3+'Option Matrix'!N17*$I$3+'Option Matrix'!O17*$J$3+'Option Matrix'!P17*$K$3-1)/8*100,6)</x:f>
        <x:v>75.970125</x:v>
      </x:c>
      <x:c r="D25" s="483" t="n">
        <x:f>RANK(C25,$C$11:$C$33,0)</x:f>
        <x:v>15</x:v>
      </x:c>
      <x:c r="E25" s="530" t="n">
        <x:f>ROUND(('Option Matrix'!G17*$B$4+'Option Matrix'!H17*$C$4+'Option Matrix'!I17*$D$4+'Option Matrix'!J17*$E$4+'Option Matrix'!K17*$F$4+'Option Matrix'!L17*$G$4+'Option Matrix'!M17*$H$4+'Option Matrix'!N17*$I$4+'Option Matrix'!O17*$J$4+'Option Matrix'!P17*$K$4-1)/8*100,6)</x:f>
        <x:v>81</x:v>
      </x:c>
      <x:c r="F25" s="483" t="n">
        <x:f>RANK(E25,$E$11:$E$33,0)</x:f>
        <x:v>10</x:v>
      </x:c>
      <x:c r="G25" s="530" t="n">
        <x:f>ROUND(('Option Matrix'!G17*$B$5+'Option Matrix'!H17*$C$5+'Option Matrix'!I17*$D$5+'Option Matrix'!J17*$E$5+'Option Matrix'!K17*$F$5+'Option Matrix'!L17*$G$5+'Option Matrix'!M17*$H$5+'Option Matrix'!N17*$I$5+'Option Matrix'!O17*$J$5+'Option Matrix'!P17*$K$5-1)/8*100,6)</x:f>
        <x:v>67.625</x:v>
      </x:c>
      <x:c r="H25" s="483" t="n">
        <x:f>RANK(G25,$G$11:$G$33,0)</x:f>
        <x:v>18</x:v>
      </x:c>
      <x:c r="I25" s="530" t="n">
        <x:f>ROUND(('Option Matrix'!G17*$B$6+'Option Matrix'!H17*$C$6+'Option Matrix'!I17*$D$6+'Option Matrix'!J17*$E$6+'Option Matrix'!K17*$F$6+'Option Matrix'!L17*$G$6+'Option Matrix'!M17*$H$6+'Option Matrix'!N17*$I$6+'Option Matrix'!O17*$J$6+'Option Matrix'!P17*$K$6-1)/8*100,6)</x:f>
        <x:v>72.25</x:v>
      </x:c>
      <x:c r="J25" s="483" t="n">
        <x:f>RANK(I25,$I$11:$I$33,0)</x:f>
        <x:v>19</x:v>
      </x:c>
      <x:c r="K25" s="530" t="n">
        <x:f>ROUND(('Option Matrix'!G17*$B$7+'Option Matrix'!H17*$C$7+'Option Matrix'!I17*$D$7+'Option Matrix'!J17*$E$7+'Option Matrix'!K17*$F$7+'Option Matrix'!L17*$G$7+'Option Matrix'!M17*$H$7+'Option Matrix'!N17*$I$7+'Option Matrix'!O17*$J$7+'Option Matrix'!P17*$K$7-1)/8*100,6)</x:f>
        <x:v>80.75</x:v>
      </x:c>
      <x:c r="L25" s="483" t="n">
        <x:f>RANK(K25,$K$11:$K$33,0)</x:f>
        <x:v>10</x:v>
      </x:c>
      <x:c r="M25" s="776" t="str">
        <x:f>MIN(D25,F25,H25,J25,L25)&amp;"–"&amp;MAX(D25,F25,H25,J25,L25)</x:f>
        <x:v>10–19</x:v>
      </x:c>
      <x:c r="N25" s="483"/>
      <x:c r="O25" s="483"/>
      <x:c r="P25" s="483"/>
      <x:c r="Q25" s="483"/>
      <x:c r="R25" s="483"/>
      <x:c r="S25" s="483"/>
      <x:c r="T25" s="483"/>
      <x:c r="U25" s="483"/>
      <x:c r="V25" s="483"/>
      <x:c r="W25" s="483"/>
    </x:row>
    <x:row r="26">
      <x:c r="A26" s="727" t="str">
        <x:v>Turnkey</x:v>
      </x:c>
      <x:c r="B26" s="529" t="str">
        <x:v>Managed vendor</x:v>
      </x:c>
      <x:c r="C26" s="530" t="n">
        <x:f>ROUND(('Option Matrix'!G18*$B$3+'Option Matrix'!H18*$C$3+'Option Matrix'!I18*$D$3+'Option Matrix'!J18*$E$3+'Option Matrix'!K18*$F$3+'Option Matrix'!L18*$G$3+'Option Matrix'!M18*$H$3+'Option Matrix'!N18*$I$3+'Option Matrix'!O18*$J$3+'Option Matrix'!P18*$K$3-1)/8*100,6)</x:f>
        <x:v>75.044202</x:v>
      </x:c>
      <x:c r="D26" s="483" t="n">
        <x:f>RANK(C26,$C$11:$C$33,0)</x:f>
        <x:v>16</x:v>
      </x:c>
      <x:c r="E26" s="530" t="n">
        <x:f>ROUND(('Option Matrix'!G18*$B$4+'Option Matrix'!H18*$C$4+'Option Matrix'!I18*$D$4+'Option Matrix'!J18*$E$4+'Option Matrix'!K18*$F$4+'Option Matrix'!L18*$G$4+'Option Matrix'!M18*$H$4+'Option Matrix'!N18*$I$4+'Option Matrix'!O18*$J$4+'Option Matrix'!P18*$K$4-1)/8*100,6)</x:f>
        <x:v>75.125</x:v>
      </x:c>
      <x:c r="F26" s="483" t="n">
        <x:f>RANK(E26,$E$11:$E$33,0)</x:f>
        <x:v>15</x:v>
      </x:c>
      <x:c r="G26" s="530" t="n">
        <x:f>ROUND(('Option Matrix'!G18*$B$5+'Option Matrix'!H18*$C$5+'Option Matrix'!I18*$D$5+'Option Matrix'!J18*$E$5+'Option Matrix'!K18*$F$5+'Option Matrix'!L18*$G$5+'Option Matrix'!M18*$H$5+'Option Matrix'!N18*$I$5+'Option Matrix'!O18*$J$5+'Option Matrix'!P18*$K$5-1)/8*100,6)</x:f>
        <x:v>72</x:v>
      </x:c>
      <x:c r="H26" s="483" t="n">
        <x:f>RANK(G26,$G$11:$G$33,0)</x:f>
        <x:v>15</x:v>
      </x:c>
      <x:c r="I26" s="530" t="n">
        <x:f>ROUND(('Option Matrix'!G18*$B$6+'Option Matrix'!H18*$C$6+'Option Matrix'!I18*$D$6+'Option Matrix'!J18*$E$6+'Option Matrix'!K18*$F$6+'Option Matrix'!L18*$G$6+'Option Matrix'!M18*$H$6+'Option Matrix'!N18*$I$6+'Option Matrix'!O18*$J$6+'Option Matrix'!P18*$K$6-1)/8*100,6)</x:f>
        <x:v>78.75</x:v>
      </x:c>
      <x:c r="J26" s="483" t="n">
        <x:f>RANK(I26,$I$11:$I$33,0)</x:f>
        <x:v>14</x:v>
      </x:c>
      <x:c r="K26" s="530" t="n">
        <x:f>ROUND(('Option Matrix'!G18*$B$7+'Option Matrix'!H18*$C$7+'Option Matrix'!I18*$D$7+'Option Matrix'!J18*$E$7+'Option Matrix'!K18*$F$7+'Option Matrix'!L18*$G$7+'Option Matrix'!M18*$H$7+'Option Matrix'!N18*$I$7+'Option Matrix'!O18*$J$7+'Option Matrix'!P18*$K$7-1)/8*100,6)</x:f>
        <x:v>75.25</x:v>
      </x:c>
      <x:c r="L26" s="483" t="n">
        <x:f>RANK(K26,$K$11:$K$33,0)</x:f>
        <x:v>16</x:v>
      </x:c>
      <x:c r="M26" s="776" t="str">
        <x:f>MIN(D26,F26,H26,J26,L26)&amp;"–"&amp;MAX(D26,F26,H26,J26,L26)</x:f>
        <x:v>14–16</x:v>
      </x:c>
      <x:c r="N26" s="483"/>
      <x:c r="O26" s="483"/>
      <x:c r="P26" s="483"/>
      <x:c r="Q26" s="483"/>
      <x:c r="R26" s="483"/>
      <x:c r="S26" s="483"/>
      <x:c r="T26" s="483"/>
      <x:c r="U26" s="483"/>
      <x:c r="V26" s="483"/>
      <x:c r="W26" s="483"/>
    </x:row>
    <x:row r="27">
      <x:c r="A27" s="727" t="str">
        <x:v>Keycloak/Ory external OIDC broker</x:v>
      </x:c>
      <x:c r="B27" s="529" t="str">
        <x:v>Foundation</x:v>
      </x:c>
      <x:c r="C27" s="530" t="n">
        <x:f>ROUND(('Option Matrix'!G19*$B$3+'Option Matrix'!H19*$C$3+'Option Matrix'!I19*$D$3+'Option Matrix'!J19*$E$3+'Option Matrix'!K19*$F$3+'Option Matrix'!L19*$G$3+'Option Matrix'!M19*$H$3+'Option Matrix'!N19*$I$3+'Option Matrix'!O19*$J$3+'Option Matrix'!P19*$K$3-1)/8*100,6)</x:f>
        <x:v>74.47182</x:v>
      </x:c>
      <x:c r="D27" s="483" t="n">
        <x:f>RANK(C27,$C$11:$C$33,0)</x:f>
        <x:v>17</x:v>
      </x:c>
      <x:c r="E27" s="530" t="n">
        <x:f>ROUND(('Option Matrix'!G19*$B$4+'Option Matrix'!H19*$C$4+'Option Matrix'!I19*$D$4+'Option Matrix'!J19*$E$4+'Option Matrix'!K19*$F$4+'Option Matrix'!L19*$G$4+'Option Matrix'!M19*$H$4+'Option Matrix'!N19*$I$4+'Option Matrix'!O19*$J$4+'Option Matrix'!P19*$K$4-1)/8*100,6)</x:f>
        <x:v>78.375</x:v>
      </x:c>
      <x:c r="F27" s="483" t="n">
        <x:f>RANK(E27,$E$11:$E$33,0)</x:f>
        <x:v>11</x:v>
      </x:c>
      <x:c r="G27" s="530" t="n">
        <x:f>ROUND(('Option Matrix'!G19*$B$5+'Option Matrix'!H19*$C$5+'Option Matrix'!I19*$D$5+'Option Matrix'!J19*$E$5+'Option Matrix'!K19*$F$5+'Option Matrix'!L19*$G$5+'Option Matrix'!M19*$H$5+'Option Matrix'!N19*$I$5+'Option Matrix'!O19*$J$5+'Option Matrix'!P19*$K$5-1)/8*100,6)</x:f>
        <x:v>68.125</x:v>
      </x:c>
      <x:c r="H27" s="483" t="n">
        <x:f>RANK(G27,$G$11:$G$33,0)</x:f>
        <x:v>16</x:v>
      </x:c>
      <x:c r="I27" s="530" t="n">
        <x:f>ROUND(('Option Matrix'!G19*$B$6+'Option Matrix'!H19*$C$6+'Option Matrix'!I19*$D$6+'Option Matrix'!J19*$E$6+'Option Matrix'!K19*$F$6+'Option Matrix'!L19*$G$6+'Option Matrix'!M19*$H$6+'Option Matrix'!N19*$I$6+'Option Matrix'!O19*$J$6+'Option Matrix'!P19*$K$6-1)/8*100,6)</x:f>
        <x:v>81.625</x:v>
      </x:c>
      <x:c r="J27" s="483" t="n">
        <x:f>RANK(I27,$I$11:$I$33,0)</x:f>
        <x:v>8</x:v>
      </x:c>
      <x:c r="K27" s="530" t="n">
        <x:f>ROUND(('Option Matrix'!G19*$B$7+'Option Matrix'!H19*$C$7+'Option Matrix'!I19*$D$7+'Option Matrix'!J19*$E$7+'Option Matrix'!K19*$F$7+'Option Matrix'!L19*$G$7+'Option Matrix'!M19*$H$7+'Option Matrix'!N19*$I$7+'Option Matrix'!O19*$J$7+'Option Matrix'!P19*$K$7-1)/8*100,6)</x:f>
        <x:v>80</x:v>
      </x:c>
      <x:c r="L27" s="483" t="n">
        <x:f>RANK(K27,$K$11:$K$33,0)</x:f>
        <x:v>12</x:v>
      </x:c>
      <x:c r="M27" s="776" t="str">
        <x:f>MIN(D27,F27,H27,J27,L27)&amp;"–"&amp;MAX(D27,F27,H27,J27,L27)</x:f>
        <x:v>8–17</x:v>
      </x:c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>
      <x:c r="A28" s="727" t="str">
        <x:v>WalletConnect Identity Keys + ReCaps</x:v>
      </x:c>
      <x:c r="B28" s="529" t="str">
        <x:v>Delegated wallet</x:v>
      </x:c>
      <x:c r="C28" s="530" t="n">
        <x:f>ROUND(('Option Matrix'!G20*$B$3+'Option Matrix'!H20*$C$3+'Option Matrix'!I20*$D$3+'Option Matrix'!J20*$E$3+'Option Matrix'!K20*$F$3+'Option Matrix'!L20*$G$3+'Option Matrix'!M20*$H$3+'Option Matrix'!N20*$I$3+'Option Matrix'!O20*$J$3+'Option Matrix'!P20*$K$3-1)/8*100,6)</x:f>
        <x:v>71.376059</x:v>
      </x:c>
      <x:c r="D28" s="483" t="n">
        <x:f>RANK(C28,$C$11:$C$33,0)</x:f>
        <x:v>18</x:v>
      </x:c>
      <x:c r="E28" s="530" t="n">
        <x:f>ROUND(('Option Matrix'!G20*$B$4+'Option Matrix'!H20*$C$4+'Option Matrix'!I20*$D$4+'Option Matrix'!J20*$E$4+'Option Matrix'!K20*$F$4+'Option Matrix'!L20*$G$4+'Option Matrix'!M20*$H$4+'Option Matrix'!N20*$I$4+'Option Matrix'!O20*$J$4+'Option Matrix'!P20*$K$4-1)/8*100,6)</x:f>
        <x:v>74.125</x:v>
      </x:c>
      <x:c r="F28" s="483" t="n">
        <x:f>RANK(E28,$E$11:$E$33,0)</x:f>
        <x:v>17</x:v>
      </x:c>
      <x:c r="G28" s="530" t="n">
        <x:f>ROUND(('Option Matrix'!G20*$B$5+'Option Matrix'!H20*$C$5+'Option Matrix'!I20*$D$5+'Option Matrix'!J20*$E$5+'Option Matrix'!K20*$F$5+'Option Matrix'!L20*$G$5+'Option Matrix'!M20*$H$5+'Option Matrix'!N20*$I$5+'Option Matrix'!O20*$J$5+'Option Matrix'!P20*$K$5-1)/8*100,6)</x:f>
        <x:v>66.375</x:v>
      </x:c>
      <x:c r="H28" s="483" t="n">
        <x:f>RANK(G28,$G$11:$G$33,0)</x:f>
        <x:v>20</x:v>
      </x:c>
      <x:c r="I28" s="530" t="n">
        <x:f>ROUND(('Option Matrix'!G20*$B$6+'Option Matrix'!H20*$C$6+'Option Matrix'!I20*$D$6+'Option Matrix'!J20*$E$6+'Option Matrix'!K20*$F$6+'Option Matrix'!L20*$G$6+'Option Matrix'!M20*$H$6+'Option Matrix'!N20*$I$6+'Option Matrix'!O20*$J$6+'Option Matrix'!P20*$K$6-1)/8*100,6)</x:f>
        <x:v>72.625</x:v>
      </x:c>
      <x:c r="J28" s="483" t="n">
        <x:f>RANK(I28,$I$11:$I$33,0)</x:f>
        <x:v>17</x:v>
      </x:c>
      <x:c r="K28" s="530" t="n">
        <x:f>ROUND(('Option Matrix'!G20*$B$7+'Option Matrix'!H20*$C$7+'Option Matrix'!I20*$D$7+'Option Matrix'!J20*$E$7+'Option Matrix'!K20*$F$7+'Option Matrix'!L20*$G$7+'Option Matrix'!M20*$H$7+'Option Matrix'!N20*$I$7+'Option Matrix'!O20*$J$7+'Option Matrix'!P20*$K$7-1)/8*100,6)</x:f>
        <x:v>73.75</x:v>
      </x:c>
      <x:c r="L28" s="483" t="n">
        <x:f>RANK(K28,$K$11:$K$33,0)</x:f>
        <x:v>17</x:v>
      </x:c>
      <x:c r="M28" s="776" t="str">
        <x:f>MIN(D28,F28,H28,J28,L28)&amp;"–"&amp;MAX(D28,F28,H28,J28,L28)</x:f>
        <x:v>17–20</x:v>
      </x:c>
      <x:c r="N28" s="483"/>
      <x:c r="O28" s="483"/>
      <x:c r="P28" s="483"/>
      <x:c r="Q28" s="483"/>
      <x:c r="R28" s="483"/>
      <x:c r="S28" s="483"/>
      <x:c r="T28" s="483"/>
      <x:c r="U28" s="483"/>
      <x:c r="V28" s="483"/>
      <x:c r="W28" s="483"/>
    </x:row>
    <x:row r="29">
      <x:c r="A29" s="727" t="str">
        <x:v>Legacy SIWE + connector orchestration</x:v>
      </x:c>
      <x:c r="B29" s="529" t="str">
        <x:v>Wallet fallback</x:v>
      </x:c>
      <x:c r="C29" s="530" t="n">
        <x:f>ROUND(('Option Matrix'!G21*$B$3+'Option Matrix'!H21*$C$3+'Option Matrix'!I21*$D$3+'Option Matrix'!J21*$E$3+'Option Matrix'!K21*$F$3+'Option Matrix'!L21*$G$3+'Option Matrix'!M21*$H$3+'Option Matrix'!N21*$I$3+'Option Matrix'!O21*$J$3+'Option Matrix'!P21*$K$3-1)/8*100,6)</x:f>
        <x:v>69.088642</x:v>
      </x:c>
      <x:c r="D29" s="483" t="n">
        <x:f>RANK(C29,$C$11:$C$33,0)</x:f>
        <x:v>19</x:v>
      </x:c>
      <x:c r="E29" s="530" t="n">
        <x:f>ROUND(('Option Matrix'!G21*$B$4+'Option Matrix'!H21*$C$4+'Option Matrix'!I21*$D$4+'Option Matrix'!J21*$E$4+'Option Matrix'!K21*$F$4+'Option Matrix'!L21*$G$4+'Option Matrix'!M21*$H$4+'Option Matrix'!N21*$I$4+'Option Matrix'!O21*$J$4+'Option Matrix'!P21*$K$4-1)/8*100,6)</x:f>
        <x:v>70.875</x:v>
      </x:c>
      <x:c r="F29" s="483" t="n">
        <x:f>RANK(E29,$E$11:$E$33,0)</x:f>
        <x:v>18</x:v>
      </x:c>
      <x:c r="G29" s="530" t="n">
        <x:f>ROUND(('Option Matrix'!G21*$B$5+'Option Matrix'!H21*$C$5+'Option Matrix'!I21*$D$5+'Option Matrix'!J21*$E$5+'Option Matrix'!K21*$F$5+'Option Matrix'!L21*$G$5+'Option Matrix'!M21*$H$5+'Option Matrix'!N21*$I$5+'Option Matrix'!O21*$J$5+'Option Matrix'!P21*$K$5-1)/8*100,6)</x:f>
        <x:v>67.125</x:v>
      </x:c>
      <x:c r="H29" s="483" t="n">
        <x:f>RANK(G29,$G$11:$G$33,0)</x:f>
        <x:v>19</x:v>
      </x:c>
      <x:c r="I29" s="530" t="n">
        <x:f>ROUND(('Option Matrix'!G21*$B$6+'Option Matrix'!H21*$C$6+'Option Matrix'!I21*$D$6+'Option Matrix'!J21*$E$6+'Option Matrix'!K21*$F$6+'Option Matrix'!L21*$G$6+'Option Matrix'!M21*$H$6+'Option Matrix'!N21*$I$6+'Option Matrix'!O21*$J$6+'Option Matrix'!P21*$K$6-1)/8*100,6)</x:f>
        <x:v>74.75</x:v>
      </x:c>
      <x:c r="J29" s="483" t="n">
        <x:f>RANK(I29,$I$11:$I$33,0)</x:f>
        <x:v>16</x:v>
      </x:c>
      <x:c r="K29" s="530" t="n">
        <x:f>ROUND(('Option Matrix'!G21*$B$7+'Option Matrix'!H21*$C$7+'Option Matrix'!I21*$D$7+'Option Matrix'!J21*$E$7+'Option Matrix'!K21*$F$7+'Option Matrix'!L21*$G$7+'Option Matrix'!M21*$H$7+'Option Matrix'!N21*$I$7+'Option Matrix'!O21*$J$7+'Option Matrix'!P21*$K$7-1)/8*100,6)</x:f>
        <x:v>67.25</x:v>
      </x:c>
      <x:c r="L29" s="483" t="n">
        <x:f>RANK(K29,$K$11:$K$33,0)</x:f>
        <x:v>20</x:v>
      </x:c>
      <x:c r="M29" s="776" t="str">
        <x:f>MIN(D29,F29,H29,J29,L29)&amp;"–"&amp;MAX(D29,F29,H29,J29,L29)</x:f>
        <x:v>16–20</x:v>
      </x:c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>
      <x:c r="A30" s="727" t="str">
        <x:v>Base Account</x:v>
      </x:c>
      <x:c r="B30" s="529" t="str">
        <x:v>Managed vendor</x:v>
      </x:c>
      <x:c r="C30" s="530" t="n">
        <x:f>ROUND(('Option Matrix'!G22*$B$3+'Option Matrix'!H22*$C$3+'Option Matrix'!I22*$D$3+'Option Matrix'!J22*$E$3+'Option Matrix'!K22*$F$3+'Option Matrix'!L22*$G$3+'Option Matrix'!M22*$H$3+'Option Matrix'!N22*$I$3+'Option Matrix'!O22*$J$3+'Option Matrix'!P22*$K$3-1)/8*100,6)</x:f>
        <x:v>67.028599</x:v>
      </x:c>
      <x:c r="D30" s="483" t="n">
        <x:f>RANK(C30,$C$11:$C$33,0)</x:f>
        <x:v>20</x:v>
      </x:c>
      <x:c r="E30" s="530" t="n">
        <x:f>ROUND(('Option Matrix'!G22*$B$4+'Option Matrix'!H22*$C$4+'Option Matrix'!I22*$D$4+'Option Matrix'!J22*$E$4+'Option Matrix'!K22*$F$4+'Option Matrix'!L22*$G$4+'Option Matrix'!M22*$H$4+'Option Matrix'!N22*$I$4+'Option Matrix'!O22*$J$4+'Option Matrix'!P22*$K$4-1)/8*100,6)</x:f>
        <x:v>61.5</x:v>
      </x:c>
      <x:c r="F30" s="483" t="n">
        <x:f>RANK(E30,$E$11:$E$33,0)</x:f>
        <x:v>22</x:v>
      </x:c>
      <x:c r="G30" s="530" t="n">
        <x:f>ROUND(('Option Matrix'!G22*$B$5+'Option Matrix'!H22*$C$5+'Option Matrix'!I22*$D$5+'Option Matrix'!J22*$E$5+'Option Matrix'!K22*$F$5+'Option Matrix'!L22*$G$5+'Option Matrix'!M22*$H$5+'Option Matrix'!N22*$I$5+'Option Matrix'!O22*$J$5+'Option Matrix'!P22*$K$5-1)/8*100,6)</x:f>
        <x:v>77</x:v>
      </x:c>
      <x:c r="H30" s="483" t="n">
        <x:f>RANK(G30,$G$11:$G$33,0)</x:f>
        <x:v>14</x:v>
      </x:c>
      <x:c r="I30" s="530" t="n">
        <x:f>ROUND(('Option Matrix'!G22*$B$6+'Option Matrix'!H22*$C$6+'Option Matrix'!I22*$D$6+'Option Matrix'!J22*$E$6+'Option Matrix'!K22*$F$6+'Option Matrix'!L22*$G$6+'Option Matrix'!M22*$H$6+'Option Matrix'!N22*$I$6+'Option Matrix'!O22*$J$6+'Option Matrix'!P22*$K$6-1)/8*100,6)</x:f>
        <x:v>72.625</x:v>
      </x:c>
      <x:c r="J30" s="483" t="n">
        <x:f>RANK(I30,$I$11:$I$33,0)</x:f>
        <x:v>17</x:v>
      </x:c>
      <x:c r="K30" s="530" t="n">
        <x:f>ROUND(('Option Matrix'!G22*$B$7+'Option Matrix'!H22*$C$7+'Option Matrix'!I22*$D$7+'Option Matrix'!J22*$E$7+'Option Matrix'!K22*$F$7+'Option Matrix'!L22*$G$7+'Option Matrix'!M22*$H$7+'Option Matrix'!N22*$I$7+'Option Matrix'!O22*$J$7+'Option Matrix'!P22*$K$7-1)/8*100,6)</x:f>
        <x:v>57.875</x:v>
      </x:c>
      <x:c r="L30" s="483" t="n">
        <x:f>RANK(K30,$K$11:$K$33,0)</x:f>
        <x:v>22</x:v>
      </x:c>
      <x:c r="M30" s="776" t="str">
        <x:f>MIN(D30,F30,H30,J30,L30)&amp;"–"&amp;MAX(D30,F30,H30,J30,L30)</x:f>
        <x:v>14–22</x:v>
      </x:c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>
      <x:c r="A31" s="727" t="str">
        <x:v>Legacy Telegram Login Widget</x:v>
      </x:c>
      <x:c r="B31" s="529" t="str">
        <x:v>Chat/social legacy</x:v>
      </x:c>
      <x:c r="C31" s="530" t="n">
        <x:f>ROUND(('Option Matrix'!G23*$B$3+'Option Matrix'!H23*$C$3+'Option Matrix'!I23*$D$3+'Option Matrix'!J23*$E$3+'Option Matrix'!K23*$F$3+'Option Matrix'!L23*$G$3+'Option Matrix'!M23*$H$3+'Option Matrix'!N23*$I$3+'Option Matrix'!O23*$J$3+'Option Matrix'!P23*$K$3-1)/8*100,6)</x:f>
        <x:v>65.307086</x:v>
      </x:c>
      <x:c r="D31" s="483" t="n">
        <x:f>RANK(C31,$C$11:$C$33,0)</x:f>
        <x:v>21</x:v>
      </x:c>
      <x:c r="E31" s="530" t="n">
        <x:f>ROUND(('Option Matrix'!G23*$B$4+'Option Matrix'!H23*$C$4+'Option Matrix'!I23*$D$4+'Option Matrix'!J23*$E$4+'Option Matrix'!K23*$F$4+'Option Matrix'!L23*$G$4+'Option Matrix'!M23*$H$4+'Option Matrix'!N23*$I$4+'Option Matrix'!O23*$J$4+'Option Matrix'!P23*$K$4-1)/8*100,6)</x:f>
        <x:v>69.375</x:v>
      </x:c>
      <x:c r="F31" s="483" t="n">
        <x:f>RANK(E31,$E$11:$E$33,0)</x:f>
        <x:v>20</x:v>
      </x:c>
      <x:c r="G31" s="530" t="n">
        <x:f>ROUND(('Option Matrix'!G23*$B$5+'Option Matrix'!H23*$C$5+'Option Matrix'!I23*$D$5+'Option Matrix'!J23*$E$5+'Option Matrix'!K23*$F$5+'Option Matrix'!L23*$G$5+'Option Matrix'!M23*$H$5+'Option Matrix'!N23*$I$5+'Option Matrix'!O23*$J$5+'Option Matrix'!P23*$K$5-1)/8*100,6)</x:f>
        <x:v>62.5</x:v>
      </x:c>
      <x:c r="H31" s="483" t="n">
        <x:f>RANK(G31,$G$11:$G$33,0)</x:f>
        <x:v>22</x:v>
      </x:c>
      <x:c r="I31" s="530" t="n">
        <x:f>ROUND(('Option Matrix'!G23*$B$6+'Option Matrix'!H23*$C$6+'Option Matrix'!I23*$D$6+'Option Matrix'!J23*$E$6+'Option Matrix'!K23*$F$6+'Option Matrix'!L23*$G$6+'Option Matrix'!M23*$H$6+'Option Matrix'!N23*$I$6+'Option Matrix'!O23*$J$6+'Option Matrix'!P23*$K$6-1)/8*100,6)</x:f>
        <x:v>61.875</x:v>
      </x:c>
      <x:c r="J31" s="483" t="n">
        <x:f>RANK(I31,$I$11:$I$33,0)</x:f>
        <x:v>22</x:v>
      </x:c>
      <x:c r="K31" s="530" t="n">
        <x:f>ROUND(('Option Matrix'!G23*$B$7+'Option Matrix'!H23*$C$7+'Option Matrix'!I23*$D$7+'Option Matrix'!J23*$E$7+'Option Matrix'!K23*$F$7+'Option Matrix'!L23*$G$7+'Option Matrix'!M23*$H$7+'Option Matrix'!N23*$I$7+'Option Matrix'!O23*$J$7+'Option Matrix'!P23*$K$7-1)/8*100,6)</x:f>
        <x:v>70.75</x:v>
      </x:c>
      <x:c r="L31" s="483" t="n">
        <x:f>RANK(K31,$K$11:$K$33,0)</x:f>
        <x:v>19</x:v>
      </x:c>
      <x:c r="M31" s="776" t="str">
        <x:f>MIN(D31,F31,H31,J31,L31)&amp;"–"&amp;MAX(D31,F31,H31,J31,L31)</x:f>
        <x:v>19–22</x:v>
      </x:c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>
      <x:c r="A32" s="727" t="str">
        <x:v>ERC-7846 wallet_connect + SIWE</x:v>
      </x:c>
      <x:c r="B32" s="529" t="str">
        <x:v>Emerging wallet</x:v>
      </x:c>
      <x:c r="C32" s="530" t="n">
        <x:f>ROUND(('Option Matrix'!G24*$B$3+'Option Matrix'!H24*$C$3+'Option Matrix'!I24*$D$3+'Option Matrix'!J24*$E$3+'Option Matrix'!K24*$F$3+'Option Matrix'!L24*$G$3+'Option Matrix'!M24*$H$3+'Option Matrix'!N24*$I$3+'Option Matrix'!O24*$J$3+'Option Matrix'!P24*$K$3-1)/8*100,6)</x:f>
        <x:v>63.340786</x:v>
      </x:c>
      <x:c r="D32" s="483" t="n">
        <x:f>RANK(C32,$C$11:$C$33,0)</x:f>
        <x:v>22</x:v>
      </x:c>
      <x:c r="E32" s="530" t="n">
        <x:f>ROUND(('Option Matrix'!G24*$B$4+'Option Matrix'!H24*$C$4+'Option Matrix'!I24*$D$4+'Option Matrix'!J24*$E$4+'Option Matrix'!K24*$F$4+'Option Matrix'!L24*$G$4+'Option Matrix'!M24*$H$4+'Option Matrix'!N24*$I$4+'Option Matrix'!O24*$J$4+'Option Matrix'!P24*$K$4-1)/8*100,6)</x:f>
        <x:v>63.375</x:v>
      </x:c>
      <x:c r="F32" s="483" t="n">
        <x:f>RANK(E32,$E$11:$E$33,0)</x:f>
        <x:v>21</x:v>
      </x:c>
      <x:c r="G32" s="530" t="n">
        <x:f>ROUND(('Option Matrix'!G24*$B$5+'Option Matrix'!H24*$C$5+'Option Matrix'!I24*$D$5+'Option Matrix'!J24*$E$5+'Option Matrix'!K24*$F$5+'Option Matrix'!L24*$G$5+'Option Matrix'!M24*$H$5+'Option Matrix'!N24*$I$5+'Option Matrix'!O24*$J$5+'Option Matrix'!P24*$K$5-1)/8*100,6)</x:f>
        <x:v>65.25</x:v>
      </x:c>
      <x:c r="H32" s="483" t="n">
        <x:f>RANK(G32,$G$11:$G$33,0)</x:f>
        <x:v>21</x:v>
      </x:c>
      <x:c r="I32" s="530" t="n">
        <x:f>ROUND(('Option Matrix'!G24*$B$6+'Option Matrix'!H24*$C$6+'Option Matrix'!I24*$D$6+'Option Matrix'!J24*$E$6+'Option Matrix'!K24*$F$6+'Option Matrix'!L24*$G$6+'Option Matrix'!M24*$H$6+'Option Matrix'!N24*$I$6+'Option Matrix'!O24*$J$6+'Option Matrix'!P24*$K$6-1)/8*100,6)</x:f>
        <x:v>63.875</x:v>
      </x:c>
      <x:c r="J32" s="483" t="n">
        <x:f>RANK(I32,$I$11:$I$33,0)</x:f>
        <x:v>21</x:v>
      </x:c>
      <x:c r="K32" s="530" t="n">
        <x:f>ROUND(('Option Matrix'!G24*$B$7+'Option Matrix'!H24*$C$7+'Option Matrix'!I24*$D$7+'Option Matrix'!J24*$E$7+'Option Matrix'!K24*$F$7+'Option Matrix'!L24*$G$7+'Option Matrix'!M24*$H$7+'Option Matrix'!N24*$I$7+'Option Matrix'!O24*$J$7+'Option Matrix'!P24*$K$7-1)/8*100,6)</x:f>
        <x:v>58.375</x:v>
      </x:c>
      <x:c r="L32" s="483" t="n">
        <x:f>RANK(K32,$K$11:$K$33,0)</x:f>
        <x:v>21</x:v>
      </x:c>
      <x:c r="M32" s="776" t="str">
        <x:f>MIN(D32,F32,H32,J32,L32)&amp;"–"&amp;MAX(D32,F32,H32,J32,L32)</x:f>
        <x:v>21–22</x:v>
      </x:c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>
      <x:c r="A33" s="738" t="str">
        <x:v>ERC-8019 trusted automatic SIWE</x:v>
      </x:c>
      <x:c r="B33" s="533" t="str">
        <x:v>Future wallet</x:v>
      </x:c>
      <x:c r="C33" s="535" t="n">
        <x:f>ROUND(('Option Matrix'!G25*$B$3+'Option Matrix'!H25*$C$3+'Option Matrix'!I25*$D$3+'Option Matrix'!J25*$E$3+'Option Matrix'!K25*$F$3+'Option Matrix'!L25*$G$3+'Option Matrix'!M25*$H$3+'Option Matrix'!N25*$I$3+'Option Matrix'!O25*$J$3+'Option Matrix'!P25*$K$3-1)/8*100,6)</x:f>
        <x:v>57.991986</x:v>
      </x:c>
      <x:c r="D33" s="534" t="n">
        <x:f>RANK(C33,$C$11:$C$33,0)</x:f>
        <x:v>23</x:v>
      </x:c>
      <x:c r="E33" s="535" t="n">
        <x:f>ROUND(('Option Matrix'!G25*$B$4+'Option Matrix'!H25*$C$4+'Option Matrix'!I25*$D$4+'Option Matrix'!J25*$E$4+'Option Matrix'!K25*$F$4+'Option Matrix'!L25*$G$4+'Option Matrix'!M25*$H$4+'Option Matrix'!N25*$I$4+'Option Matrix'!O25*$J$4+'Option Matrix'!P25*$K$4-1)/8*100,6)</x:f>
        <x:v>58.75</x:v>
      </x:c>
      <x:c r="F33" s="534" t="n">
        <x:f>RANK(E33,$E$11:$E$33,0)</x:f>
        <x:v>23</x:v>
      </x:c>
      <x:c r="G33" s="535" t="n">
        <x:f>ROUND(('Option Matrix'!G25*$B$5+'Option Matrix'!H25*$C$5+'Option Matrix'!I25*$D$5+'Option Matrix'!J25*$E$5+'Option Matrix'!K25*$F$5+'Option Matrix'!L25*$G$5+'Option Matrix'!M25*$H$5+'Option Matrix'!N25*$I$5+'Option Matrix'!O25*$J$5+'Option Matrix'!P25*$K$5-1)/8*100,6)</x:f>
        <x:v>59.875</x:v>
      </x:c>
      <x:c r="H33" s="534" t="n">
        <x:f>RANK(G33,$G$11:$G$33,0)</x:f>
        <x:v>23</x:v>
      </x:c>
      <x:c r="I33" s="535" t="n">
        <x:f>ROUND(('Option Matrix'!G25*$B$6+'Option Matrix'!H25*$C$6+'Option Matrix'!I25*$D$6+'Option Matrix'!J25*$E$6+'Option Matrix'!K25*$F$6+'Option Matrix'!L25*$G$6+'Option Matrix'!M25*$H$6+'Option Matrix'!N25*$I$6+'Option Matrix'!O25*$J$6+'Option Matrix'!P25*$K$6-1)/8*100,6)</x:f>
        <x:v>60.875</x:v>
      </x:c>
      <x:c r="J33" s="534" t="n">
        <x:f>RANK(I33,$I$11:$I$33,0)</x:f>
        <x:v>23</x:v>
      </x:c>
      <x:c r="K33" s="535" t="n">
        <x:f>ROUND(('Option Matrix'!G25*$B$7+'Option Matrix'!H25*$C$7+'Option Matrix'!I25*$D$7+'Option Matrix'!J25*$E$7+'Option Matrix'!K25*$F$7+'Option Matrix'!L25*$G$7+'Option Matrix'!M25*$H$7+'Option Matrix'!N25*$I$7+'Option Matrix'!O25*$J$7+'Option Matrix'!P25*$K$7-1)/8*100,6)</x:f>
        <x:v>53.875</x:v>
      </x:c>
      <x:c r="L33" s="534" t="n">
        <x:f>RANK(K33,$K$11:$K$33,0)</x:f>
        <x:v>23</x:v>
      </x:c>
      <x:c r="M33" s="777" t="str">
        <x:f>MIN(D33,F33,H33,J33,L33)&amp;"–"&amp;MAX(D33,F33,H33,J33,L33)</x:f>
        <x:v>23–23</x:v>
      </x:c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>
      <x:c r="A34" s="483"/>
      <x:c r="B34" s="483"/>
      <x:c r="C34" s="483"/>
      <x:c r="D34" s="483"/>
      <x:c r="E34" s="483"/>
      <x:c r="F34" s="483"/>
      <x:c r="G34" s="483"/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>
      <x:c r="A35" s="483"/>
      <x:c r="B35" s="483"/>
      <x:c r="C35" s="483"/>
      <x:c r="D35" s="483"/>
      <x:c r="E35" s="483"/>
      <x:c r="F35" s="483"/>
      <x:c r="G35" s="483"/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>
      <x:c r="A36" s="483"/>
      <x:c r="B36" s="483"/>
      <x:c r="C36" s="483"/>
      <x:c r="D36" s="483"/>
      <x:c r="E36" s="483"/>
      <x:c r="F36" s="483"/>
      <x:c r="G36" s="483"/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>
      <x:c r="A37" s="483"/>
      <x:c r="B37" s="483"/>
      <x:c r="C37" s="483"/>
      <x:c r="D37" s="483"/>
      <x:c r="E37" s="483"/>
      <x:c r="F37" s="483"/>
      <x:c r="G37" s="483"/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>
      <x:c r="A38" s="483"/>
      <x:c r="B38" s="483"/>
      <x:c r="C38" s="483"/>
      <x:c r="D38" s="483"/>
      <x:c r="E38" s="483"/>
      <x:c r="F38" s="483"/>
      <x:c r="G38" s="483"/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>
      <x:c r="A39" s="483"/>
      <x:c r="B39" s="483"/>
      <x:c r="C39" s="483"/>
      <x:c r="D39" s="483"/>
      <x:c r="E39" s="483"/>
      <x:c r="F39" s="483"/>
      <x:c r="G39" s="483"/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>
      <x:c r="A40" s="483"/>
      <x:c r="B40" s="483"/>
      <x:c r="C40" s="483"/>
      <x:c r="D40" s="483"/>
      <x:c r="E40" s="483"/>
      <x:c r="F40" s="483"/>
      <x:c r="G40" s="483"/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>
      <x:c r="A41" s="483"/>
      <x:c r="B41" s="483"/>
      <x:c r="C41" s="483"/>
      <x:c r="D41" s="483"/>
      <x:c r="E41" s="483"/>
      <x:c r="F41" s="483"/>
      <x:c r="G41" s="483"/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>
      <x:c r="A42" s="483"/>
      <x:c r="B42" s="483"/>
      <x:c r="C42" s="483"/>
      <x:c r="D42" s="483"/>
      <x:c r="E42" s="483"/>
      <x:c r="F42" s="483"/>
      <x:c r="G42" s="483"/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L1"/>
    <x:mergeCell ref="A9:M9"/>
  </x:mergeCells>
  <x:conditionalFormatting sqref="B3:K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{7DF514A0-721D-5DFA-A703-0A8DA8E6CACA}</x14:id>
        </x:ext>
      </x:extLst>
    </x:cfRule>
  </x:conditionalFormatting>
  <x:conditionalFormatting sqref="C11:C33">
    <x:cfRule type="dataBar" priority="2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{A9A0F72C-DC17-9704-C509-2051A11C5CE8}</x14:id>
        </x:ext>
      </x:extLst>
    </x:cfRule>
  </x:conditionalFormatting>
  <x:conditionalFormatting sqref="E11:E33">
    <x:cfRule type="dataBar" priority="3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{BDC3E9F6-32B3-2ACC-3CC4-C5D4D9B24DDA}</x14:id>
        </x:ext>
      </x:extLst>
    </x:cfRule>
  </x:conditionalFormatting>
  <x:conditionalFormatting sqref="G11:G33">
    <x:cfRule type="dataBar" priority="4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{A112B17A-C7A3-10A3-6B29-97FC5090F268}</x14:id>
        </x:ext>
      </x:extLst>
    </x:cfRule>
  </x:conditionalFormatting>
  <x:conditionalFormatting sqref="I11:I33">
    <x:cfRule type="dataBar" priority="5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{4BD7BB28-1805-77E8-0A4E-1D4BF61DA13F}</x14:id>
        </x:ext>
      </x:extLst>
    </x:cfRule>
  </x:conditionalFormatting>
  <x:conditionalFormatting sqref="K11:K33">
    <x:cfRule type="dataBar" priority="6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{34F9E0B7-CBEB-1A74-994F-AABF63DE805E}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F514A0-721D-5DFA-A703-0A8DA8E6CACA}">
            <x14:dataBar gradient="1">
              <x14:cfvo type="min"/>
              <x14:cfvo type="max"/>
              <x14:fillColor rgb="FF0F766E"/>
            </x14:dataBar>
          </x14:cfRule>
          <xm:sqref>B3:K7</xm:sqref>
        </x14:conditionalFormatting>
        <x14:conditionalFormatting>
          <x14:cfRule type="dataBar" priority="2" id="{A9A0F72C-DC17-9704-C509-2051A11C5CE8}">
            <x14:dataBar gradient="1">
              <x14:cfvo type="min"/>
              <x14:cfvo type="max"/>
              <x14:fillColor rgb="FF1D4ED8"/>
            </x14:dataBar>
          </x14:cfRule>
          <xm:sqref>C11:C33</xm:sqref>
        </x14:conditionalFormatting>
        <x14:conditionalFormatting>
          <x14:cfRule type="dataBar" priority="3" id="{BDC3E9F6-32B3-2ACC-3CC4-C5D4D9B24DDA}">
            <x14:dataBar gradient="1">
              <x14:cfvo type="min"/>
              <x14:cfvo type="max"/>
              <x14:fillColor rgb="FF1D4ED8"/>
            </x14:dataBar>
          </x14:cfRule>
          <xm:sqref>E11:E33</xm:sqref>
        </x14:conditionalFormatting>
        <x14:conditionalFormatting>
          <x14:cfRule type="dataBar" priority="4" id="{A112B17A-C7A3-10A3-6B29-97FC5090F268}">
            <x14:dataBar gradient="1">
              <x14:cfvo type="min"/>
              <x14:cfvo type="max"/>
              <x14:fillColor rgb="FF1D4ED8"/>
            </x14:dataBar>
          </x14:cfRule>
          <xm:sqref>G11:G33</xm:sqref>
        </x14:conditionalFormatting>
        <x14:conditionalFormatting>
          <x14:cfRule type="dataBar" priority="5" id="{4BD7BB28-1805-77E8-0A4E-1D4BF61DA13F}">
            <x14:dataBar gradient="1">
              <x14:cfvo type="min"/>
              <x14:cfvo type="max"/>
              <x14:fillColor rgb="FF1D4ED8"/>
            </x14:dataBar>
          </x14:cfRule>
          <xm:sqref>I11:I33</xm:sqref>
        </x14:conditionalFormatting>
        <x14:conditionalFormatting>
          <x14:cfRule type="dataBar" priority="6" id="{34F9E0B7-CBEB-1A74-994F-AABF63DE805E}">
            <x14:dataBar gradient="1">
              <x14:cfvo type="min"/>
              <x14:cfvo type="max"/>
              <x14:fillColor rgb="FF1D4ED8"/>
            </x14:dataBar>
          </x14:cfRule>
          <xm:sqref>K11:K33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481" t="str">
        <x:v>Recommended architecture portfolio and sequenced decision gates</x:v>
      </x:c>
      <x:c r="B1" s="481"/>
      <x:c r="C1" s="481"/>
      <x:c r="D1" s="481"/>
      <x:c r="E1" s="481"/>
      <x:c r="F1" s="481"/>
      <x:c r="G1" s="481"/>
      <x:c r="H1" s="481"/>
      <x:c r="I1" s="483"/>
      <x:c r="J1" s="483"/>
      <x:c r="K1" s="483"/>
      <x:c r="L1" s="483"/>
      <x:c r="M1" s="483"/>
      <x:c r="N1" s="483"/>
      <x:c r="O1" s="483"/>
      <x:c r="P1" s="483"/>
      <x:c r="Q1" s="483"/>
      <x:c r="R1" s="483"/>
      <x:c r="S1" s="483"/>
      <x:c r="T1" s="483"/>
      <x:c r="U1" s="483"/>
      <x:c r="V1" s="483"/>
      <x:c r="W1" s="483"/>
    </x:row>
    <x:row r="2">
      <x:c r="A2" s="520" t="str">
        <x:v>Phase</x:v>
      </x:c>
      <x:c r="B2" s="521" t="str">
        <x:v>Component</x:v>
      </x:c>
      <x:c r="C2" s="521" t="str">
        <x:v>Decision</x:v>
      </x:c>
      <x:c r="D2" s="521" t="str">
        <x:v>What it owns</x:v>
      </x:c>
      <x:c r="E2" s="521" t="str">
        <x:v>What it must not own</x:v>
      </x:c>
      <x:c r="F2" s="521" t="str">
        <x:v>Why / role</x:v>
      </x:c>
      <x:c r="G2" s="521" t="str">
        <x:v>Acceptance condition</x:v>
      </x:c>
      <x:c r="H2" s="522" t="str">
        <x:v>Kill / stop condition</x:v>
      </x:c>
      <x:c r="I2" s="483"/>
      <x:c r="J2" s="483"/>
      <x:c r="K2" s="483"/>
      <x:c r="L2" s="483"/>
      <x:c r="M2" s="483"/>
      <x:c r="N2" s="483"/>
      <x:c r="O2" s="483"/>
      <x:c r="P2" s="483"/>
      <x:c r="Q2" s="483"/>
      <x:c r="R2" s="483"/>
      <x:c r="S2" s="483"/>
      <x:c r="T2" s="483"/>
      <x:c r="U2" s="483"/>
      <x:c r="V2" s="483"/>
      <x:c r="W2" s="483"/>
    </x:row>
    <x:row r="3" ht="74" customHeight="1">
      <x:c r="A3" s="781" t="str">
        <x:v>P0</x:v>
      </x:c>
      <x:c r="B3" s="782" t="str">
        <x:v>Credential-link ledger</x:v>
      </x:c>
      <x:c r="C3" s="782" t="str">
        <x:v>Build in identity-api</x:v>
      </x:c>
      <x:c r="D3" s="782" t="str">
        <x:v>Canonical user_id; immutable provider issuer+subject keys; credential state; provenance; collision/revocation ledger.</x:v>
      </x:c>
      <x:c r="E3" s="782" t="str">
        <x:v>Provider profile content, wallet assets, Discord/Telegram community state.</x:v>
      </x:c>
      <x:c r="F3" s="782" t="str">
        <x:v>Makes every provider and wallet implementation replaceable while preserving one person across channels.</x:v>
      </x:c>
      <x:c r="G3" s="782" t="str">
        <x:v>Unique(provider, issuer, subject); no username/email merge; collision is an explicit hard stop.</x:v>
      </x:c>
      <x:c r="H3" s="783" t="str">
        <x:v>Kill or narrow if a second canonical user store is required to make it work.</x:v>
      </x:c>
      <x:c r="I3" s="483"/>
      <x:c r="J3" s="483"/>
      <x:c r="K3" s="483"/>
      <x:c r="L3" s="483"/>
      <x:c r="M3" s="483"/>
      <x:c r="N3" s="483"/>
      <x:c r="O3" s="483"/>
      <x:c r="P3" s="483"/>
      <x:c r="Q3" s="483"/>
      <x:c r="R3" s="483"/>
      <x:c r="S3" s="483"/>
      <x:c r="T3" s="483"/>
      <x:c r="U3" s="483"/>
      <x:c r="V3" s="483"/>
      <x:c r="W3" s="483"/>
    </x:row>
    <x:row r="4" ht="74" customHeight="1">
      <x:c r="A4" s="784" t="str">
        <x:v>P0</x:v>
      </x:c>
      <x:c r="B4" s="785" t="str">
        <x:v>LinkIntent / OAuth transaction state machine</x:v>
      </x:c>
      <x:c r="C4" s="785" t="str">
        <x:v>Build once, reuse for Discord and Telegram</x:v>
      </x:c>
      <x:c r="D4" s="785" t="str">
        <x:v>Initiating session, provider/toolkit/tenant/client context, state, nonce, PKCE challenge, redirect, expiry, one-time consumption.</x:v>
      </x:c>
      <x:c r="E4" s="785" t="str">
        <x:v>Provider authorization UI.</x:v>
      </x:c>
      <x:c r="F4" s="785" t="str">
        <x:v>The 2026 OAuth threat model shows that PKCE alone does not prevent wrong-user or wrong-toolkit linkage.</x:v>
      </x:c>
      <x:c r="G4" s="785" t="str">
        <x:v>The user who starts the link must be the user who completes it; exact provider context survives every redirect.</x:v>
      </x:c>
      <x:c r="H4" s="786" t="str">
        <x:v>Reject designs that carry an unauthenticated raw user_id in a deep link or callback.</x:v>
      </x:c>
      <x:c r="I4" s="483"/>
      <x:c r="J4" s="483"/>
      <x:c r="K4" s="483"/>
      <x:c r="L4" s="483"/>
      <x:c r="M4" s="483"/>
      <x:c r="N4" s="483"/>
      <x:c r="O4" s="483"/>
      <x:c r="P4" s="483"/>
      <x:c r="Q4" s="483"/>
      <x:c r="R4" s="483"/>
      <x:c r="S4" s="483"/>
      <x:c r="T4" s="483"/>
      <x:c r="U4" s="483"/>
      <x:c r="V4" s="483"/>
      <x:c r="W4" s="483"/>
    </x:row>
    <x:row r="5" ht="74" customHeight="1">
      <x:c r="A5" s="784" t="str">
        <x:v>P0</x:v>
      </x:c>
      <x:c r="B5" s="785" t="str">
        <x:v>Discord OAuth2 adapter</x:v>
      </x:c>
      <x:c r="C5" s="785" t="str">
        <x:v>Adopt</x:v>
      </x:c>
      <x:c r="D5" s="785" t="str">
        <x:v>Discord code exchange, subject verification, normalized CredentialProof.</x:v>
      </x:c>
      <x:c r="E5" s="785" t="str">
        <x:v>Canonical user or session.</x:v>
      </x:c>
      <x:c r="F5" s="785" t="str">
        <x:v>High maturity, direct near-term need, and near-zero architectural conflict.</x:v>
      </x:c>
      <x:c r="G5" s="785" t="str">
        <x:v>Authorization code + PKCE where applicable; exact redirect; immutable Discord subject; identify-only scope first.</x:v>
      </x:c>
      <x:c r="H5" s="786" t="str">
        <x:v>Do not auto-link by Discord username, display name, or email.</x:v>
      </x:c>
      <x:c r="I5" s="483"/>
      <x:c r="J5" s="483"/>
      <x:c r="K5" s="483"/>
      <x:c r="L5" s="483"/>
      <x:c r="M5" s="483"/>
      <x:c r="N5" s="483"/>
      <x:c r="O5" s="483"/>
      <x:c r="P5" s="483"/>
      <x:c r="Q5" s="483"/>
      <x:c r="R5" s="483"/>
      <x:c r="S5" s="483"/>
      <x:c r="T5" s="483"/>
      <x:c r="U5" s="483"/>
      <x:c r="V5" s="483"/>
      <x:c r="W5" s="483"/>
    </x:row>
    <x:row r="6" ht="74" customHeight="1">
      <x:c r="A6" s="784" t="str">
        <x:v>P0</x:v>
      </x:c>
      <x:c r="B6" s="785" t="str">
        <x:v>Telegram OIDC adapter</x:v>
      </x:c>
      <x:c r="C6" s="785" t="str">
        <x:v>Adopt</x:v>
      </x:c>
      <x:c r="D6" s="785" t="str">
        <x:v>OIDC discovery/JWKS, code exchange, ID-token validation, normalized CredentialProof.</x:v>
      </x:c>
      <x:c r="E6" s="785" t="str">
        <x:v>Canonical user or session.</x:v>
      </x:c>
      <x:c r="F6" s="785" t="str">
        <x:v>Official OIDC now provides a cleaner, standards-aligned path than the legacy widget.</x:v>
      </x:c>
      <x:c r="G6" s="785" t="str">
        <x:v>S256 PKCE; validate issuer, audience, expiry, nonce/state; key by issuer+sub.</x:v>
      </x:c>
      <x:c r="H6" s="786" t="str">
        <x:v>Do not start new legacy-widget integrations unless a documented platform constraint requires it.</x:v>
      </x:c>
      <x:c r="I6" s="483"/>
      <x:c r="J6" s="483"/>
      <x:c r="K6" s="483"/>
      <x:c r="L6" s="483"/>
      <x:c r="M6" s="483"/>
      <x:c r="N6" s="483"/>
      <x:c r="O6" s="483"/>
      <x:c r="P6" s="483"/>
      <x:c r="Q6" s="483"/>
      <x:c r="R6" s="483"/>
      <x:c r="S6" s="483"/>
      <x:c r="T6" s="483"/>
      <x:c r="U6" s="483"/>
      <x:c r="V6" s="483"/>
      <x:c r="W6" s="483"/>
    </x:row>
    <x:row r="7" ht="74" customHeight="1">
      <x:c r="A7" s="784" t="str">
        <x:v>P0</x:v>
      </x:c>
      <x:c r="B7" s="785" t="str">
        <x:v>Chat bot linking</x:v>
      </x:c>
      <x:c r="C7" s="785" t="str">
        <x:v>Adopt with two-sided confirmation</x:v>
      </x:c>
      <x:c r="D7" s="785" t="str">
        <x:v>Short-lived one-time code, context binding, bot identity proof, confirmation/audit event.</x:v>
      </x:c>
      <x:c r="E7" s="785" t="str">
        <x:v>Persistent identity authority in the bot.</x:v>
      </x:c>
      <x:c r="F7" s="785" t="str">
        <x:v>Most natural entry point for Discord/Telegram communities and support flows.</x:v>
      </x:c>
      <x:c r="G7" s="785" t="str">
        <x:v>Unique code; very short TTL; single use; same-user binding; visible account being linked; rate limits.</x:v>
      </x:c>
      <x:c r="H7" s="786" t="str">
        <x:v>Do not treat a forwarded deep link or bot message alone as sufficient identity proof.</x:v>
      </x:c>
      <x:c r="I7" s="483"/>
      <x:c r="J7" s="483"/>
      <x:c r="K7" s="483"/>
      <x:c r="L7" s="483"/>
      <x:c r="M7" s="483"/>
      <x:c r="N7" s="483"/>
      <x:c r="O7" s="483"/>
      <x:c r="P7" s="483"/>
      <x:c r="Q7" s="483"/>
      <x:c r="R7" s="483"/>
      <x:c r="S7" s="483"/>
      <x:c r="T7" s="483"/>
      <x:c r="U7" s="483"/>
      <x:c r="V7" s="483"/>
      <x:c r="W7" s="483"/>
    </x:row>
    <x:row r="8" ht="74" customHeight="1">
      <x:c r="A8" s="784" t="str">
        <x:v>P0</x:v>
      </x:c>
      <x:c r="B8" s="785" t="str">
        <x:v>Durable session + resume</x:v>
      </x:c>
      <x:c r="C8" s="785" t="str">
        <x:v>Build in identity-api</x:v>
      </x:c>
      <x:c r="D8" s="785" t="str">
        <x:v>Opaque server session, device/session metadata, refresh/resume, logout, revocation, audience-specific access tokens.</x:v>
      </x:c>
      <x:c r="E8" s="785" t="str">
        <x:v>Wallet connector state as authentication truth.</x:v>
      </x:c>
      <x:c r="F8" s="785" t="str">
        <x:v>This is what makes returning authentication genuinely zero-wallet-prompt.</x:v>
      </x:c>
      <x:c r="G8" s="785" t="str">
        <x:v>Reload/redeploy does not force wallet or social reauthentication inside policy lifetime.</x:v>
      </x:c>
      <x:c r="H8" s="786" t="str">
        <x:v>Do not persist bearer tokens or authenticated booleans as the primary browser source of truth.</x:v>
      </x:c>
      <x:c r="I8" s="483"/>
      <x:c r="J8" s="483"/>
      <x:c r="K8" s="483"/>
      <x:c r="L8" s="483"/>
      <x:c r="M8" s="483"/>
      <x:c r="N8" s="483"/>
      <x:c r="O8" s="483"/>
      <x:c r="P8" s="483"/>
      <x:c r="Q8" s="483"/>
      <x:c r="R8" s="483"/>
      <x:c r="S8" s="483"/>
      <x:c r="T8" s="483"/>
      <x:c r="U8" s="483"/>
      <x:c r="V8" s="483"/>
      <x:c r="W8" s="483"/>
    </x:row>
    <x:row r="9" ht="74" customHeight="1">
      <x:c r="A9" s="784" t="str">
        <x:v>P0</x:v>
      </x:c>
      <x:c r="B9" s="785" t="str">
        <x:v>Addressless wallet AuthIntent</x:v>
      </x:c>
      <x:c r="C9" s="785" t="str">
        <x:v>Build in identity-api</x:v>
      </x:c>
      <x:c r="D9" s="785" t="str">
        <x:v>Nonce, client/domain/audience, chain request, expiry, exact completion checks.</x:v>
      </x:c>
      <x:c r="E9" s="785" t="str">
        <x:v>Wallet account selection UI.</x:v>
      </x:c>
      <x:c r="F9" s="785" t="str">
        <x:v>Combined wallet authentication cannot work if the server requires an address before issuing the challenge.</x:v>
      </x:c>
      <x:c r="G9" s="785" t="str">
        <x:v>Intent can be created before account exposure; recovered/verified account is bound only at completion.</x:v>
      </x:c>
      <x:c r="H9" s="786" t="str">
        <x:v>Reject any one-click design that trusts a client-supplied address without proof.</x:v>
      </x:c>
      <x:c r="I9" s="483"/>
      <x:c r="J9" s="483"/>
      <x:c r="K9" s="483"/>
      <x:c r="L9" s="483"/>
      <x:c r="M9" s="483"/>
      <x:c r="N9" s="483"/>
      <x:c r="O9" s="483"/>
      <x:c r="P9" s="483"/>
      <x:c r="Q9" s="483"/>
      <x:c r="R9" s="483"/>
      <x:c r="S9" s="483"/>
      <x:c r="T9" s="483"/>
      <x:c r="U9" s="483"/>
      <x:c r="V9" s="483"/>
      <x:c r="W9" s="483"/>
    </x:row>
    <x:row r="10" ht="74" customHeight="1">
      <x:c r="A10" s="784" t="str">
        <x:v>P0</x:v>
      </x:c>
      <x:c r="B10" s="785" t="str">
        <x:v>Reown SIWX / One-Click preferred route</x:v>
      </x:c>
      <x:c r="C10" s="785" t="str">
        <x:v>Adopt with capability detection</x:v>
      </x:c>
      <x:c r="D10" s="785" t="str">
        <x:v>Wallet transport and connector UX.</x:v>
      </x:c>
      <x:c r="E10" s="785" t="str">
        <x:v>Nonce, proof validation, canonical user, or session.</x:v>
      </x:c>
      <x:c r="F10" s="785" t="str">
        <x:v>Best practical connector-level friction reducer available now.</x:v>
      </x:c>
      <x:c r="G10" s="785" t="str">
        <x:v>One combined wallet request where supported; safe automatic fallback elsewhere.</x:v>
      </x:c>
      <x:c r="H10" s="786" t="str">
        <x:v>Do not make Reown's account/session model the canonical identity record.</x:v>
      </x:c>
      <x:c r="I10" s="483"/>
      <x:c r="J10" s="483"/>
      <x:c r="K10" s="483"/>
      <x:c r="L10" s="483"/>
      <x:c r="M10" s="483"/>
      <x:c r="N10" s="483"/>
      <x:c r="O10" s="483"/>
      <x:c r="P10" s="483"/>
      <x:c r="Q10" s="483"/>
      <x:c r="R10" s="483"/>
      <x:c r="S10" s="483"/>
      <x:c r="T10" s="483"/>
      <x:c r="U10" s="483"/>
      <x:c r="V10" s="483"/>
      <x:c r="W10" s="483"/>
    </x:row>
    <x:row r="11" ht="74" customHeight="1">
      <x:c r="A11" s="784" t="str">
        <x:v>P0</x:v>
      </x:c>
      <x:c r="B11" s="785" t="str">
        <x:v>Legacy SIWE fallback</x:v>
      </x:c>
      <x:c r="C11" s="785" t="str">
        <x:v>Retain</x:v>
      </x:c>
      <x:c r="D11" s="785" t="str">
        <x:v>EVM wallet proof fallback.</x:v>
      </x:c>
      <x:c r="E11" s="785" t="str">
        <x:v>Cross-chain proof model.</x:v>
      </x:c>
      <x:c r="F11" s="785" t="str">
        <x:v>Maximizes current wallet compatibility while one-click standards mature.</x:v>
      </x:c>
      <x:c r="G11" s="785" t="str">
        <x:v>Domain/URI/nonce/chain/time checks; EIP-1271/6492 as needed; clear two-step fallback UX.</x:v>
      </x:c>
      <x:c r="H11" s="786" t="str">
        <x:v>Do not represent it as chain-neutral.</x:v>
      </x:c>
      <x:c r="I11" s="483"/>
      <x:c r="J11" s="483"/>
      <x:c r="K11" s="483"/>
      <x:c r="L11" s="483"/>
      <x:c r="M11" s="483"/>
      <x:c r="N11" s="483"/>
      <x:c r="O11" s="483"/>
      <x:c r="P11" s="483"/>
      <x:c r="Q11" s="483"/>
      <x:c r="R11" s="483"/>
      <x:c r="S11" s="483"/>
      <x:c r="T11" s="483"/>
      <x:c r="U11" s="483"/>
      <x:c r="V11" s="483"/>
      <x:c r="W11" s="483"/>
    </x:row>
    <x:row r="12" ht="74" customHeight="1">
      <x:c r="A12" s="784" t="str">
        <x:v>P0/P1</x:v>
      </x:c>
      <x:c r="B12" s="785" t="str">
        <x:v>CAIP account IDs and proof envelope</x:v>
      </x:c>
      <x:c r="C12" s="785" t="str">
        <x:v>Adopt internally</x:v>
      </x:c>
      <x:c r="D12" s="785" t="str">
        <x:v>Chain-neutral identifiers and normalized wallet proof vocabulary.</x:v>
      </x:c>
      <x:c r="E12" s="785" t="str">
        <x:v>Wallet transport selection.</x:v>
      </x:c>
      <x:c r="F12" s="785" t="str">
        <x:v>Prevents an EVM-first route from shaping the canonical identity schema.</x:v>
      </x:c>
      <x:c r="G12" s="785" t="str">
        <x:v>CAIP-2 chain ID + CAIP-10 account ID; proof_type/version; raw evidence reference; verifier metadata.</x:v>
      </x:c>
      <x:c r="H12" s="786" t="str">
        <x:v>Avoid overbuilding CACAO capability semantics until a consumer requires them.</x:v>
      </x:c>
      <x:c r="I12" s="483"/>
      <x:c r="J12" s="483"/>
      <x:c r="K12" s="483"/>
      <x:c r="L12" s="483"/>
      <x:c r="M12" s="483"/>
      <x:c r="N12" s="483"/>
      <x:c r="O12" s="483"/>
      <x:c r="P12" s="483"/>
      <x:c r="Q12" s="483"/>
      <x:c r="R12" s="483"/>
      <x:c r="S12" s="483"/>
      <x:c r="T12" s="483"/>
      <x:c r="U12" s="483"/>
      <x:c r="V12" s="483"/>
      <x:c r="W12" s="483"/>
    </x:row>
    <x:row r="13" ht="74" customHeight="1">
      <x:c r="A13" s="784" t="str">
        <x:v>P1</x:v>
      </x:c>
      <x:c r="B13" s="785" t="str">
        <x:v>Telegram Mini App adapter</x:v>
      </x:c>
      <x:c r="C13" s="785" t="str">
        <x:v>Adopt for Telegram-hosted surfaces</x:v>
      </x:c>
      <x:c r="D13" s="785" t="str">
        <x:v>initData validation, freshness, replay and link/resume decision.</x:v>
      </x:c>
      <x:c r="E13" s="785" t="str">
        <x:v>General web OIDC flow.</x:v>
      </x:c>
      <x:c r="F13" s="785" t="str">
        <x:v>Best no-redirect experience inside Telegram.</x:v>
      </x:c>
      <x:c r="G13" s="785" t="str">
        <x:v>Server-verifiable HMAC/signature, max age, one-time link intent, explicit collision handling.</x:v>
      </x:c>
      <x:c r="H13" s="786" t="str">
        <x:v>Do not accept unvalidated client-decoded initData.</x:v>
      </x:c>
      <x:c r="I13" s="483"/>
      <x:c r="J13" s="483"/>
      <x:c r="K13" s="483"/>
      <x:c r="L13" s="483"/>
      <x:c r="M13" s="483"/>
      <x:c r="N13" s="483"/>
      <x:c r="O13" s="483"/>
      <x:c r="P13" s="483"/>
      <x:c r="Q13" s="483"/>
      <x:c r="R13" s="483"/>
      <x:c r="S13" s="483"/>
      <x:c r="T13" s="483"/>
      <x:c r="U13" s="483"/>
      <x:c r="V13" s="483"/>
      <x:c r="W13" s="483"/>
    </x:row>
    <x:row r="14" ht="74" customHeight="1">
      <x:c r="A14" s="784" t="str">
        <x:v>P1</x:v>
      </x:c>
      <x:c r="B14" s="785" t="str">
        <x:v>Passkey adapter</x:v>
      </x:c>
      <x:c r="C14" s="785" t="str">
        <x:v>Adopt after first verified credential</x:v>
      </x:c>
      <x:c r="D14" s="785" t="str">
        <x:v>WebAuthn credential records, authentication ceremony, recovery policy.</x:v>
      </x:c>
      <x:c r="E14" s="785" t="str">
        <x:v>Wallet keys or social-provider identity.</x:v>
      </x:c>
      <x:c r="F14" s="785" t="str">
        <x:v>Best returning-user credential and a wallet-independent recovery path.</x:v>
      </x:c>
      <x:c r="G14" s="785" t="str">
        <x:v>RP/origin design; user-verification policy; multiple authenticators; revocation/recovery; AAL policy.</x:v>
      </x:c>
      <x:c r="H14" s="786" t="str">
        <x:v>Do not promise AAL3 with synced passkeys.</x:v>
      </x:c>
      <x:c r="I14" s="483"/>
      <x:c r="J14" s="483"/>
      <x:c r="K14" s="483"/>
      <x:c r="L14" s="483"/>
      <x:c r="M14" s="483"/>
      <x:c r="N14" s="483"/>
      <x:c r="O14" s="483"/>
      <x:c r="P14" s="483"/>
      <x:c r="Q14" s="483"/>
      <x:c r="R14" s="483"/>
      <x:c r="S14" s="483"/>
      <x:c r="T14" s="483"/>
      <x:c r="U14" s="483"/>
      <x:c r="V14" s="483"/>
      <x:c r="W14" s="483"/>
    </x:row>
    <x:row r="15" ht="74" customHeight="1">
      <x:c r="A15" s="784" t="str">
        <x:v>P1</x:v>
      </x:c>
      <x:c r="B15" s="785" t="str">
        <x:v>Better Auth adapter implementation</x:v>
      </x:c>
      <x:c r="C15" s="785" t="str">
        <x:v>Pilot</x:v>
      </x:c>
      <x:c r="D15" s="785" t="str">
        <x:v>Provider-specific OAuth/passkey UX and ceremony helpers behind a narrow port.</x:v>
      </x:c>
      <x:c r="E15" s="785" t="str">
        <x:v>Canonical user, link policy, issuer, or final session contract.</x:v>
      </x:c>
      <x:c r="F15" s="785" t="str">
        <x:v>Can accelerate social/passkey work without reversing the ratified architecture.</x:v>
      </x:c>
      <x:c r="G15" s="785" t="str">
        <x:v>Every Better Auth result is translated into identity-api CredentialProof before standing is granted.</x:v>
      </x:c>
      <x:c r="H15" s="786" t="str">
        <x:v>Stop if two-way user/session synchronization becomes required.</x:v>
      </x:c>
      <x:c r="I15" s="483"/>
      <x:c r="J15" s="483"/>
      <x:c r="K15" s="483"/>
      <x:c r="L15" s="483"/>
      <x:c r="M15" s="483"/>
      <x:c r="N15" s="483"/>
      <x:c r="O15" s="483"/>
      <x:c r="P15" s="483"/>
      <x:c r="Q15" s="483"/>
      <x:c r="R15" s="483"/>
      <x:c r="S15" s="483"/>
      <x:c r="T15" s="483"/>
      <x:c r="U15" s="483"/>
      <x:c r="V15" s="483"/>
      <x:c r="W15" s="483"/>
    </x:row>
    <x:row r="16" ht="74" customHeight="1">
      <x:c r="A16" s="784" t="str">
        <x:v>P2</x:v>
      </x:c>
      <x:c r="B16" s="785" t="str">
        <x:v>Managed embedded-wallet vendor</x:v>
      </x:c>
      <x:c r="C16" s="785" t="str">
        <x:v>Product-specific buy decision</x:v>
      </x:c>
      <x:c r="D16" s="785" t="str">
        <x:v>Embedded key infrastructure and app-facing wallet UX only.</x:v>
      </x:c>
      <x:c r="E16" s="785" t="str">
        <x:v>Global canonical identity.</x:v>
      </x:c>
      <x:c r="F16" s="785" t="str">
        <x:v>Useful only when a world explicitly needs embedded wallets, gas sponsorship, agent wallets, or key policies.</x:v>
      </x:c>
      <x:c r="G16" s="785" t="str">
        <x:v>BYO-auth or external-user mapping, export/exit test, incident boundary, cost and SLA review.</x:v>
      </x:c>
      <x:c r="H16" s="786" t="str">
        <x:v>Do not select a vendor merely to avoid implementing Discord/Telegram linking.</x:v>
      </x:c>
      <x:c r="I16" s="483"/>
      <x:c r="J16" s="483"/>
      <x:c r="K16" s="483"/>
      <x:c r="L16" s="483"/>
      <x:c r="M16" s="483"/>
      <x:c r="N16" s="483"/>
      <x:c r="O16" s="483"/>
      <x:c r="P16" s="483"/>
      <x:c r="Q16" s="483"/>
      <x:c r="R16" s="483"/>
      <x:c r="S16" s="483"/>
      <x:c r="T16" s="483"/>
      <x:c r="U16" s="483"/>
      <x:c r="V16" s="483"/>
      <x:c r="W16" s="483"/>
    </x:row>
    <x:row r="17" ht="74" customHeight="1">
      <x:c r="A17" s="787" t="str">
        <x:v>P2</x:v>
      </x:c>
      <x:c r="B17" s="788" t="str">
        <x:v>Identity Keys / ReCaps</x:v>
      </x:c>
      <x:c r="C17" s="788" t="str">
        <x:v>Demand-driven pilot</x:v>
      </x:c>
      <x:c r="D17" s="788" t="str">
        <x:v>Scoped delegated wallet/session capabilities.</x:v>
      </x:c>
      <x:c r="E17" s="788" t="str">
        <x:v>Base authentication or identity merge.</x:v>
      </x:c>
      <x:c r="F17" s="788" t="str">
        <x:v>Potentially valuable for repeated agentic or wallet actions after the simpler system is measured.</x:v>
      </x:c>
      <x:c r="G17" s="788" t="str">
        <x:v>Explicit capability, expiry, revocation, device binding, and a named consumer.</x:v>
      </x:c>
      <x:c r="H17" s="789" t="str">
        <x:v>Do not build without a measured repeated-signature problem.</x:v>
      </x:c>
      <x:c r="I17" s="483"/>
      <x:c r="J17" s="483"/>
      <x:c r="K17" s="483"/>
      <x:c r="L17" s="483"/>
      <x:c r="M17" s="483"/>
      <x:c r="N17" s="483"/>
      <x:c r="O17" s="483"/>
      <x:c r="P17" s="483"/>
      <x:c r="Q17" s="483"/>
      <x:c r="R17" s="483"/>
      <x:c r="S17" s="483"/>
      <x:c r="T17" s="483"/>
      <x:c r="U17" s="483"/>
      <x:c r="V17" s="483"/>
      <x:c r="W17" s="483"/>
    </x:row>
    <x:row r="18">
      <x:c r="A18" s="483"/>
      <x:c r="B18" s="483"/>
      <x:c r="C18" s="483"/>
      <x:c r="D18" s="483"/>
      <x:c r="E18" s="483"/>
      <x:c r="F18" s="483"/>
      <x:c r="G18" s="483"/>
      <x:c r="H18" s="483"/>
      <x:c r="I18" s="483"/>
      <x:c r="J18" s="483"/>
      <x:c r="K18" s="483"/>
      <x:c r="L18" s="483"/>
      <x:c r="M18" s="483"/>
      <x:c r="N18" s="483"/>
      <x:c r="O18" s="483"/>
      <x:c r="P18" s="483"/>
      <x:c r="Q18" s="483"/>
      <x:c r="R18" s="483"/>
      <x:c r="S18" s="483"/>
      <x:c r="T18" s="483"/>
      <x:c r="U18" s="483"/>
      <x:c r="V18" s="483"/>
      <x:c r="W18" s="483"/>
    </x:row>
    <x:row r="19">
      <x:c r="A19" s="483"/>
      <x:c r="B19" s="483"/>
      <x:c r="C19" s="483"/>
      <x:c r="D19" s="483"/>
      <x:c r="E19" s="483"/>
      <x:c r="F19" s="483"/>
      <x:c r="G19" s="483"/>
      <x:c r="H19" s="483"/>
      <x:c r="I19" s="483"/>
      <x:c r="J19" s="483"/>
      <x:c r="K19" s="483"/>
      <x:c r="L19" s="483"/>
      <x:c r="M19" s="483"/>
      <x:c r="N19" s="483"/>
      <x:c r="O19" s="483"/>
      <x:c r="P19" s="483"/>
      <x:c r="Q19" s="483"/>
      <x:c r="R19" s="483"/>
      <x:c r="S19" s="483"/>
      <x:c r="T19" s="483"/>
      <x:c r="U19" s="483"/>
      <x:c r="V19" s="483"/>
      <x:c r="W19" s="483"/>
    </x:row>
    <x:row r="20">
      <x:c r="A20" s="483"/>
      <x:c r="B20" s="483"/>
      <x:c r="C20" s="483"/>
      <x:c r="D20" s="483"/>
      <x:c r="E20" s="483"/>
      <x:c r="F20" s="483"/>
      <x:c r="G20" s="483"/>
      <x:c r="H20" s="483"/>
      <x:c r="I20" s="483"/>
      <x:c r="J20" s="483"/>
      <x:c r="K20" s="483"/>
      <x:c r="L20" s="483"/>
      <x:c r="M20" s="483"/>
      <x:c r="N20" s="483"/>
      <x:c r="O20" s="483"/>
      <x:c r="P20" s="483"/>
      <x:c r="Q20" s="483"/>
      <x:c r="R20" s="483"/>
      <x:c r="S20" s="483"/>
      <x:c r="T20" s="483"/>
      <x:c r="U20" s="483"/>
      <x:c r="V20" s="483"/>
      <x:c r="W20" s="483"/>
    </x:row>
    <x:row r="21">
      <x:c r="A21" s="483"/>
      <x:c r="B21" s="483"/>
      <x:c r="C21" s="483"/>
      <x:c r="D21" s="483"/>
      <x:c r="E21" s="483"/>
      <x:c r="F21" s="483"/>
      <x:c r="G21" s="483"/>
      <x:c r="H21" s="483"/>
      <x:c r="I21" s="483"/>
      <x:c r="J21" s="483"/>
      <x:c r="K21" s="483"/>
      <x:c r="L21" s="483"/>
      <x:c r="M21" s="483"/>
      <x:c r="N21" s="483"/>
      <x:c r="O21" s="483"/>
      <x:c r="P21" s="483"/>
      <x:c r="Q21" s="483"/>
      <x:c r="R21" s="483"/>
      <x:c r="S21" s="483"/>
      <x:c r="T21" s="483"/>
      <x:c r="U21" s="483"/>
      <x:c r="V21" s="483"/>
      <x:c r="W21" s="483"/>
    </x:row>
    <x:row r="22">
      <x:c r="A22" s="483"/>
      <x:c r="B22" s="483"/>
      <x:c r="C22" s="483"/>
      <x:c r="D22" s="483"/>
      <x:c r="E22" s="483"/>
      <x:c r="F22" s="483"/>
      <x:c r="G22" s="483"/>
      <x:c r="H22" s="483"/>
      <x:c r="I22" s="483"/>
      <x:c r="J22" s="483"/>
      <x:c r="K22" s="483"/>
      <x:c r="L22" s="483"/>
      <x:c r="M22" s="483"/>
      <x:c r="N22" s="483"/>
      <x:c r="O22" s="483"/>
      <x:c r="P22" s="483"/>
      <x:c r="Q22" s="483"/>
      <x:c r="R22" s="483"/>
      <x:c r="S22" s="483"/>
      <x:c r="T22" s="483"/>
      <x:c r="U22" s="483"/>
      <x:c r="V22" s="483"/>
      <x:c r="W22" s="483"/>
    </x:row>
    <x:row r="23">
      <x:c r="A23" s="483"/>
      <x:c r="B23" s="483"/>
      <x:c r="C23" s="483"/>
      <x:c r="D23" s="483"/>
      <x:c r="E23" s="483"/>
      <x:c r="F23" s="483"/>
      <x:c r="G23" s="483"/>
      <x:c r="H23" s="483"/>
      <x:c r="I23" s="483"/>
      <x:c r="J23" s="483"/>
      <x:c r="K23" s="483"/>
      <x:c r="L23" s="483"/>
      <x:c r="M23" s="483"/>
      <x:c r="N23" s="483"/>
      <x:c r="O23" s="483"/>
      <x:c r="P23" s="483"/>
      <x:c r="Q23" s="483"/>
      <x:c r="R23" s="483"/>
      <x:c r="S23" s="483"/>
      <x:c r="T23" s="483"/>
      <x:c r="U23" s="483"/>
      <x:c r="V23" s="483"/>
      <x:c r="W23" s="483"/>
    </x:row>
    <x:row r="24">
      <x:c r="A24" s="483"/>
      <x:c r="B24" s="483"/>
      <x:c r="C24" s="483"/>
      <x:c r="D24" s="483"/>
      <x:c r="E24" s="483"/>
      <x:c r="F24" s="483"/>
      <x:c r="G24" s="483"/>
      <x:c r="H24" s="483"/>
      <x:c r="I24" s="483"/>
      <x:c r="J24" s="483"/>
      <x:c r="K24" s="483"/>
      <x:c r="L24" s="483"/>
      <x:c r="M24" s="483"/>
      <x:c r="N24" s="483"/>
      <x:c r="O24" s="483"/>
      <x:c r="P24" s="483"/>
      <x:c r="Q24" s="483"/>
      <x:c r="R24" s="483"/>
      <x:c r="S24" s="483"/>
      <x:c r="T24" s="483"/>
      <x:c r="U24" s="483"/>
      <x:c r="V24" s="483"/>
      <x:c r="W24" s="483"/>
    </x:row>
    <x:row r="25">
      <x:c r="A25" s="483"/>
      <x:c r="B25" s="483"/>
      <x:c r="C25" s="483"/>
      <x:c r="D25" s="483"/>
      <x:c r="E25" s="483"/>
      <x:c r="F25" s="483"/>
      <x:c r="G25" s="483"/>
      <x:c r="H25" s="483"/>
      <x:c r="I25" s="483"/>
      <x:c r="J25" s="483"/>
      <x:c r="K25" s="483"/>
      <x:c r="L25" s="483"/>
      <x:c r="M25" s="483"/>
      <x:c r="N25" s="483"/>
      <x:c r="O25" s="483"/>
      <x:c r="P25" s="483"/>
      <x:c r="Q25" s="483"/>
      <x:c r="R25" s="483"/>
      <x:c r="S25" s="483"/>
      <x:c r="T25" s="483"/>
      <x:c r="U25" s="483"/>
      <x:c r="V25" s="483"/>
      <x:c r="W25" s="483"/>
    </x:row>
    <x:row r="26">
      <x:c r="A26" s="483"/>
      <x:c r="B26" s="483"/>
      <x:c r="C26" s="483"/>
      <x:c r="D26" s="483"/>
      <x:c r="E26" s="483"/>
      <x:c r="F26" s="483"/>
      <x:c r="G26" s="483"/>
      <x:c r="H26" s="483"/>
      <x:c r="I26" s="483"/>
      <x:c r="J26" s="483"/>
      <x:c r="K26" s="483"/>
      <x:c r="L26" s="483"/>
      <x:c r="M26" s="483"/>
      <x:c r="N26" s="483"/>
      <x:c r="O26" s="483"/>
      <x:c r="P26" s="483"/>
      <x:c r="Q26" s="483"/>
      <x:c r="R26" s="483"/>
      <x:c r="S26" s="483"/>
      <x:c r="T26" s="483"/>
      <x:c r="U26" s="483"/>
      <x:c r="V26" s="483"/>
      <x:c r="W26" s="483"/>
    </x:row>
    <x:row r="27">
      <x:c r="A27" s="483"/>
      <x:c r="B27" s="483"/>
      <x:c r="C27" s="483"/>
      <x:c r="D27" s="483"/>
      <x:c r="E27" s="483"/>
      <x:c r="F27" s="483"/>
      <x:c r="G27" s="483"/>
      <x:c r="H27" s="483"/>
      <x:c r="I27" s="483"/>
      <x:c r="J27" s="483"/>
      <x:c r="K27" s="483"/>
      <x:c r="L27" s="483"/>
      <x:c r="M27" s="483"/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>
      <x:c r="A28" s="483"/>
      <x:c r="B28" s="483"/>
      <x:c r="C28" s="483"/>
      <x:c r="D28" s="483"/>
      <x:c r="E28" s="483"/>
      <x:c r="F28" s="483"/>
      <x:c r="G28" s="483"/>
      <x:c r="H28" s="483"/>
      <x:c r="I28" s="483"/>
      <x:c r="J28" s="483"/>
      <x:c r="K28" s="483"/>
      <x:c r="L28" s="483"/>
      <x:c r="M28" s="483"/>
      <x:c r="N28" s="483"/>
      <x:c r="O28" s="483"/>
      <x:c r="P28" s="483"/>
      <x:c r="Q28" s="483"/>
      <x:c r="R28" s="483"/>
      <x:c r="S28" s="483"/>
      <x:c r="T28" s="483"/>
      <x:c r="U28" s="483"/>
      <x:c r="V28" s="483"/>
      <x:c r="W28" s="483"/>
    </x:row>
    <x:row r="29">
      <x:c r="A29" s="483"/>
      <x:c r="B29" s="483"/>
      <x:c r="C29" s="483"/>
      <x:c r="D29" s="483"/>
      <x:c r="E29" s="483"/>
      <x:c r="F29" s="483"/>
      <x:c r="G29" s="483"/>
      <x:c r="H29" s="483"/>
      <x:c r="I29" s="483"/>
      <x:c r="J29" s="483"/>
      <x:c r="K29" s="483"/>
      <x:c r="L29" s="483"/>
      <x:c r="M29" s="483"/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>
      <x:c r="A30" s="483"/>
      <x:c r="B30" s="483"/>
      <x:c r="C30" s="483"/>
      <x:c r="D30" s="483"/>
      <x:c r="E30" s="483"/>
      <x:c r="F30" s="483"/>
      <x:c r="G30" s="483"/>
      <x:c r="H30" s="483"/>
      <x:c r="I30" s="483"/>
      <x:c r="J30" s="483"/>
      <x:c r="K30" s="483"/>
      <x:c r="L30" s="483"/>
      <x:c r="M30" s="483"/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>
      <x:c r="A31" s="483"/>
      <x:c r="B31" s="483"/>
      <x:c r="C31" s="483"/>
      <x:c r="D31" s="483"/>
      <x:c r="E31" s="483"/>
      <x:c r="F31" s="483"/>
      <x:c r="G31" s="483"/>
      <x:c r="H31" s="483"/>
      <x:c r="I31" s="483"/>
      <x:c r="J31" s="483"/>
      <x:c r="K31" s="483"/>
      <x:c r="L31" s="483"/>
      <x:c r="M31" s="483"/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>
      <x:c r="A32" s="483"/>
      <x:c r="B32" s="483"/>
      <x:c r="C32" s="483"/>
      <x:c r="D32" s="483"/>
      <x:c r="E32" s="483"/>
      <x:c r="F32" s="483"/>
      <x:c r="G32" s="483"/>
      <x:c r="H32" s="483"/>
      <x:c r="I32" s="483"/>
      <x:c r="J32" s="483"/>
      <x:c r="K32" s="483"/>
      <x:c r="L32" s="483"/>
      <x:c r="M32" s="483"/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>
      <x:c r="A33" s="483"/>
      <x:c r="B33" s="483"/>
      <x:c r="C33" s="483"/>
      <x:c r="D33" s="483"/>
      <x:c r="E33" s="483"/>
      <x:c r="F33" s="483"/>
      <x:c r="G33" s="483"/>
      <x:c r="H33" s="483"/>
      <x:c r="I33" s="483"/>
      <x:c r="J33" s="483"/>
      <x:c r="K33" s="483"/>
      <x:c r="L33" s="483"/>
      <x:c r="M33" s="483"/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>
      <x:c r="A34" s="483"/>
      <x:c r="B34" s="483"/>
      <x:c r="C34" s="483"/>
      <x:c r="D34" s="483"/>
      <x:c r="E34" s="483"/>
      <x:c r="F34" s="483"/>
      <x:c r="G34" s="483"/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>
      <x:c r="A35" s="483"/>
      <x:c r="B35" s="483"/>
      <x:c r="C35" s="483"/>
      <x:c r="D35" s="483"/>
      <x:c r="E35" s="483"/>
      <x:c r="F35" s="483"/>
      <x:c r="G35" s="483"/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>
      <x:c r="A36" s="483"/>
      <x:c r="B36" s="483"/>
      <x:c r="C36" s="483"/>
      <x:c r="D36" s="483"/>
      <x:c r="E36" s="483"/>
      <x:c r="F36" s="483"/>
      <x:c r="G36" s="483"/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>
      <x:c r="A37" s="483"/>
      <x:c r="B37" s="483"/>
      <x:c r="C37" s="483"/>
      <x:c r="D37" s="483"/>
      <x:c r="E37" s="483"/>
      <x:c r="F37" s="483"/>
      <x:c r="G37" s="483"/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>
      <x:c r="A38" s="483"/>
      <x:c r="B38" s="483"/>
      <x:c r="C38" s="483"/>
      <x:c r="D38" s="483"/>
      <x:c r="E38" s="483"/>
      <x:c r="F38" s="483"/>
      <x:c r="G38" s="483"/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>
      <x:c r="A39" s="483"/>
      <x:c r="B39" s="483"/>
      <x:c r="C39" s="483"/>
      <x:c r="D39" s="483"/>
      <x:c r="E39" s="483"/>
      <x:c r="F39" s="483"/>
      <x:c r="G39" s="483"/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>
      <x:c r="A40" s="483"/>
      <x:c r="B40" s="483"/>
      <x:c r="C40" s="483"/>
      <x:c r="D40" s="483"/>
      <x:c r="E40" s="483"/>
      <x:c r="F40" s="483"/>
      <x:c r="G40" s="483"/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>
      <x:c r="A41" s="483"/>
      <x:c r="B41" s="483"/>
      <x:c r="C41" s="483"/>
      <x:c r="D41" s="483"/>
      <x:c r="E41" s="483"/>
      <x:c r="F41" s="483"/>
      <x:c r="G41" s="483"/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>
      <x:c r="A42" s="483"/>
      <x:c r="B42" s="483"/>
      <x:c r="C42" s="483"/>
      <x:c r="D42" s="483"/>
      <x:c r="E42" s="483"/>
      <x:c r="F42" s="483"/>
      <x:c r="G42" s="483"/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d9519090cbd48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38" hidden="0" customWidth="1"/>
    <x:col min="5" max="5" width="24" hidden="0" customWidth="1"/>
    <x:col min="6" max="6" width="55" hidden="0" customWidth="1"/>
    <x:col min="7" max="7" width="62" hidden="0" customWidth="1"/>
  </x:cols>
  <x:sheetData>
    <x:row r="1">
      <x:c r="A1" s="481" t="str">
        <x:v>Research source registry — primary and official sources preferred</x:v>
      </x:c>
      <x:c r="B1" s="481"/>
      <x:c r="C1" s="481"/>
      <x:c r="D1" s="481"/>
      <x:c r="E1" s="481"/>
      <x:c r="F1" s="481"/>
      <x:c r="G1" s="481"/>
      <x:c r="H1" s="483"/>
      <x:c r="I1" s="483"/>
      <x:c r="J1" s="483"/>
      <x:c r="K1" s="483"/>
      <x:c r="L1" s="483"/>
      <x:c r="M1" s="483"/>
      <x:c r="N1" s="483"/>
      <x:c r="O1" s="483"/>
      <x:c r="P1" s="483"/>
      <x:c r="Q1" s="483"/>
      <x:c r="R1" s="483"/>
      <x:c r="S1" s="483"/>
      <x:c r="T1" s="483"/>
      <x:c r="U1" s="483"/>
      <x:c r="V1" s="483"/>
      <x:c r="W1" s="483"/>
    </x:row>
    <x:row r="2">
      <x:c r="A2" s="520" t="str">
        <x:v>Source ID</x:v>
      </x:c>
      <x:c r="B2" s="521" t="str">
        <x:v>Category</x:v>
      </x:c>
      <x:c r="C2" s="521" t="str">
        <x:v>Publisher</x:v>
      </x:c>
      <x:c r="D2" s="521" t="str">
        <x:v>Source</x:v>
      </x:c>
      <x:c r="E2" s="521" t="str">
        <x:v>Status / maturity</x:v>
      </x:c>
      <x:c r="F2" s="521" t="str">
        <x:v>Load-bearing use</x:v>
      </x:c>
      <x:c r="G2" s="522" t="str">
        <x:v>URL</x:v>
      </x:c>
      <x:c r="H2" s="483"/>
      <x:c r="I2" s="483"/>
      <x:c r="J2" s="483"/>
      <x:c r="K2" s="483"/>
      <x:c r="L2" s="483"/>
      <x:c r="M2" s="483"/>
      <x:c r="N2" s="483"/>
      <x:c r="O2" s="483"/>
      <x:c r="P2" s="483"/>
      <x:c r="Q2" s="483"/>
      <x:c r="R2" s="483"/>
      <x:c r="S2" s="483"/>
      <x:c r="T2" s="483"/>
      <x:c r="U2" s="483"/>
      <x:c r="V2" s="483"/>
      <x:c r="W2" s="483"/>
    </x:row>
    <x:row r="3" ht="54" customHeight="1">
      <x:c r="A3" s="781" t="str">
        <x:v>INT-1</x:v>
      </x:c>
      <x:c r="B3" s="782" t="str">
        <x:v>Internal doctrine</x:v>
      </x:c>
      <x:c r="C3" s="782" t="str">
        <x:v>0xHoneyJar / identity-api</x:v>
      </x:c>
      <x:c r="D3" s="782" t="str">
        <x:v>Auth Vertical — Decision Reconciled</x:v>
      </x:c>
      <x:c r="E3" s="782" t="str">
        <x:v>Operator-ratified</x:v>
      </x:c>
      <x:c r="F3" s="782" t="str">
        <x:v>Keep the sovereign identity-api issuer/SoR; Better Auth is a credential adapter, not a replacement.</x:v>
      </x:c>
      <x:c r="G3" s="783" t="str">
        <x:v>https://github.com/0xHoneyJar/identity-api/blob/6908a76f45f1004d26f6b16309c15fc793f744db/grimoires/loa/2026-06-01-auth-decision-reconciled.md</x:v>
      </x:c>
      <x:c r="H3" s="483"/>
      <x:c r="I3" s="483"/>
      <x:c r="J3" s="483"/>
      <x:c r="K3" s="483"/>
      <x:c r="L3" s="483"/>
      <x:c r="M3" s="483"/>
      <x:c r="N3" s="483"/>
      <x:c r="O3" s="483"/>
      <x:c r="P3" s="483"/>
      <x:c r="Q3" s="483"/>
      <x:c r="R3" s="483"/>
      <x:c r="S3" s="483"/>
      <x:c r="T3" s="483"/>
      <x:c r="U3" s="483"/>
      <x:c r="V3" s="483"/>
      <x:c r="W3" s="483"/>
    </x:row>
    <x:row r="4" ht="54" customHeight="1">
      <x:c r="A4" s="784" t="str">
        <x:v>INT-2</x:v>
      </x:c>
      <x:c r="B4" s="785" t="str">
        <x:v>Internal baseline</x:v>
      </x:c>
      <x:c r="C4" s="785" t="str">
        <x:v>0xHoneyJar</x:v>
      </x:c>
      <x:c r="D4" s="785" t="str">
        <x:v>identity-api default-branch pin</x:v>
      </x:c>
      <x:c r="E4" s="785" t="str">
        <x:v>Current repository pin</x:v>
      </x:c>
      <x:c r="F4" s="785" t="str">
        <x:v>Frozen product-repository context used for applicability scoring.</x:v>
      </x:c>
      <x:c r="G4" s="786" t="str">
        <x:v>https://github.com/0xHoneyJar/identity-api/commit/6908a76f45f1004d26f6b16309c15fc793f744db</x:v>
      </x:c>
      <x:c r="H4" s="483"/>
      <x:c r="I4" s="483"/>
      <x:c r="J4" s="483"/>
      <x:c r="K4" s="483"/>
      <x:c r="L4" s="483"/>
      <x:c r="M4" s="483"/>
      <x:c r="N4" s="483"/>
      <x:c r="O4" s="483"/>
      <x:c r="P4" s="483"/>
      <x:c r="Q4" s="483"/>
      <x:c r="R4" s="483"/>
      <x:c r="S4" s="483"/>
      <x:c r="T4" s="483"/>
      <x:c r="U4" s="483"/>
      <x:c r="V4" s="483"/>
      <x:c r="W4" s="483"/>
    </x:row>
    <x:row r="5" ht="54" customHeight="1">
      <x:c r="A5" s="784" t="str">
        <x:v>INT-3</x:v>
      </x:c>
      <x:c r="B5" s="785" t="str">
        <x:v>Internal baseline</x:v>
      </x:c>
      <x:c r="C5" s="785" t="str">
        <x:v>0xHoneyJar</x:v>
      </x:c>
      <x:c r="D5" s="785" t="str">
        <x:v>Loa-Aleph default-branch pin</x:v>
      </x:c>
      <x:c r="E5" s="785" t="str">
        <x:v>Current repository pin</x:v>
      </x:c>
      <x:c r="F5" s="785" t="str">
        <x:v>Frozen Aleph method context used for the handoff.</x:v>
      </x:c>
      <x:c r="G5" s="786" t="str">
        <x:v>https://github.com/0xHoneyJar/loa-aleph/commit/5472292fd2cbd8de4bdc5ddac17406ef25009b2b</x:v>
      </x:c>
      <x:c r="H5" s="483"/>
      <x:c r="I5" s="483"/>
      <x:c r="J5" s="483"/>
      <x:c r="K5" s="483"/>
      <x:c r="L5" s="483"/>
      <x:c r="M5" s="483"/>
      <x:c r="N5" s="483"/>
      <x:c r="O5" s="483"/>
      <x:c r="P5" s="483"/>
      <x:c r="Q5" s="483"/>
      <x:c r="R5" s="483"/>
      <x:c r="S5" s="483"/>
      <x:c r="T5" s="483"/>
      <x:c r="U5" s="483"/>
      <x:c r="V5" s="483"/>
      <x:c r="W5" s="483"/>
    </x:row>
    <x:row r="6" ht="54" customHeight="1">
      <x:c r="A6" s="784" t="str">
        <x:v>INT-4</x:v>
      </x:c>
      <x:c r="B6" s="785" t="str">
        <x:v>Internal precedent</x:v>
      </x:c>
      <x:c r="C6" s="785" t="str">
        <x:v>0xHoneyJar</x:v>
      </x:c>
      <x:c r="D6" s="785" t="str">
        <x:v>construct-dynamic-auth default-branch pin</x:v>
      </x:c>
      <x:c r="E6" s="785" t="str">
        <x:v>Current repository pin</x:v>
      </x:c>
      <x:c r="F6" s="785" t="str">
        <x:v>Existing ecosystem knowledge for wallet groups, cookie SSO, and Dynamic migration.</x:v>
      </x:c>
      <x:c r="G6" s="786" t="str">
        <x:v>https://github.com/0xHoneyJar/construct-dynamic-auth/commit/752f4adc7bc209c603638568bfeaccb448401592</x:v>
      </x:c>
      <x:c r="H6" s="483"/>
      <x:c r="I6" s="483"/>
      <x:c r="J6" s="483"/>
      <x:c r="K6" s="483"/>
      <x:c r="L6" s="483"/>
      <x:c r="M6" s="483"/>
      <x:c r="N6" s="483"/>
      <x:c r="O6" s="483"/>
      <x:c r="P6" s="483"/>
      <x:c r="Q6" s="483"/>
      <x:c r="R6" s="483"/>
      <x:c r="S6" s="483"/>
      <x:c r="T6" s="483"/>
      <x:c r="U6" s="483"/>
      <x:c r="V6" s="483"/>
      <x:c r="W6" s="483"/>
    </x:row>
    <x:row r="7" ht="54" customHeight="1">
      <x:c r="A7" s="784" t="str">
        <x:v>SOC-1</x:v>
      </x:c>
      <x:c r="B7" s="785" t="str">
        <x:v>Telegram</x:v>
      </x:c>
      <x:c r="C7" s="785" t="str">
        <x:v>Telegram</x:v>
      </x:c>
      <x:c r="D7" s="785" t="str">
        <x:v>Log In With Telegram — OIDC</x:v>
      </x:c>
      <x:c r="E7" s="785" t="str">
        <x:v>Official current documentation</x:v>
      </x:c>
      <x:c r="F7" s="785" t="str">
        <x:v>OIDC authorization-code flow, discovery/JWKS, and PKCE support for Telegram login.</x:v>
      </x:c>
      <x:c r="G7" s="786" t="str">
        <x:v>https://core.telegram.org/bots/telegram-login</x:v>
      </x:c>
      <x:c r="H7" s="483"/>
      <x:c r="I7" s="483"/>
      <x:c r="J7" s="483"/>
      <x:c r="K7" s="483"/>
      <x:c r="L7" s="483"/>
      <x:c r="M7" s="483"/>
      <x:c r="N7" s="483"/>
      <x:c r="O7" s="483"/>
      <x:c r="P7" s="483"/>
      <x:c r="Q7" s="483"/>
      <x:c r="R7" s="483"/>
      <x:c r="S7" s="483"/>
      <x:c r="T7" s="483"/>
      <x:c r="U7" s="483"/>
      <x:c r="V7" s="483"/>
      <x:c r="W7" s="483"/>
    </x:row>
    <x:row r="8" ht="54" customHeight="1">
      <x:c r="A8" s="784" t="str">
        <x:v>SOC-2</x:v>
      </x:c>
      <x:c r="B8" s="785" t="str">
        <x:v>Telegram</x:v>
      </x:c>
      <x:c r="C8" s="785" t="str">
        <x:v>Telegram</x:v>
      </x:c>
      <x:c r="D8" s="785" t="str">
        <x:v>Legacy Telegram Login Widget</x:v>
      </x:c>
      <x:c r="E8" s="785" t="str">
        <x:v>Legacy / archived path</x:v>
      </x:c>
      <x:c r="F8" s="785" t="str">
        <x:v>Legacy signed-widget option retained only for migration comparison.</x:v>
      </x:c>
      <x:c r="G8" s="786" t="str">
        <x:v>https://core.telegram.org/widgets/login-legacy</x:v>
      </x:c>
      <x:c r="H8" s="483"/>
      <x:c r="I8" s="483"/>
      <x:c r="J8" s="483"/>
      <x:c r="K8" s="483"/>
      <x:c r="L8" s="483"/>
      <x:c r="M8" s="483"/>
      <x:c r="N8" s="483"/>
      <x:c r="O8" s="483"/>
      <x:c r="P8" s="483"/>
      <x:c r="Q8" s="483"/>
      <x:c r="R8" s="483"/>
      <x:c r="S8" s="483"/>
      <x:c r="T8" s="483"/>
      <x:c r="U8" s="483"/>
      <x:c r="V8" s="483"/>
      <x:c r="W8" s="483"/>
    </x:row>
    <x:row r="9" ht="54" customHeight="1">
      <x:c r="A9" s="784" t="str">
        <x:v>SOC-3</x:v>
      </x:c>
      <x:c r="B9" s="785" t="str">
        <x:v>Telegram</x:v>
      </x:c>
      <x:c r="C9" s="785" t="str">
        <x:v>Telegram</x:v>
      </x:c>
      <x:c r="D9" s="785" t="str">
        <x:v>Telegram Mini Apps</x:v>
      </x:c>
      <x:c r="E9" s="785" t="str">
        <x:v>Official current documentation</x:v>
      </x:c>
      <x:c r="F9" s="785" t="str">
        <x:v>Mini App initData is a chat-native authenticated context that must be validated server-side.</x:v>
      </x:c>
      <x:c r="G9" s="786" t="str">
        <x:v>https://core.telegram.org/bots/webapps</x:v>
      </x:c>
      <x:c r="H9" s="483"/>
      <x:c r="I9" s="483"/>
      <x:c r="J9" s="483"/>
      <x:c r="K9" s="483"/>
      <x:c r="L9" s="483"/>
      <x:c r="M9" s="483"/>
      <x:c r="N9" s="483"/>
      <x:c r="O9" s="483"/>
      <x:c r="P9" s="483"/>
      <x:c r="Q9" s="483"/>
      <x:c r="R9" s="483"/>
      <x:c r="S9" s="483"/>
      <x:c r="T9" s="483"/>
      <x:c r="U9" s="483"/>
      <x:c r="V9" s="483"/>
      <x:c r="W9" s="483"/>
    </x:row>
    <x:row r="10" ht="54" customHeight="1">
      <x:c r="A10" s="784" t="str">
        <x:v>SOC-4</x:v>
      </x:c>
      <x:c r="B10" s="785" t="str">
        <x:v>Discord</x:v>
      </x:c>
      <x:c r="C10" s="785" t="str">
        <x:v>Discord</x:v>
      </x:c>
      <x:c r="D10" s="785" t="str">
        <x:v>OAuth2 and Permissions</x:v>
      </x:c>
      <x:c r="E10" s="785" t="str">
        <x:v>Official current documentation</x:v>
      </x:c>
      <x:c r="F10" s="785" t="str">
        <x:v>Authorization-code OAuth is the standard Discord identity proof and linking transport.</x:v>
      </x:c>
      <x:c r="G10" s="786" t="str">
        <x:v>https://docs.discord.com/developers/topics/oauth2</x:v>
      </x:c>
      <x:c r="H10" s="483"/>
      <x:c r="I10" s="483"/>
      <x:c r="J10" s="483"/>
      <x:c r="K10" s="483"/>
      <x:c r="L10" s="483"/>
      <x:c r="M10" s="483"/>
      <x:c r="N10" s="483"/>
      <x:c r="O10" s="483"/>
      <x:c r="P10" s="483"/>
      <x:c r="Q10" s="483"/>
      <x:c r="R10" s="483"/>
      <x:c r="S10" s="483"/>
      <x:c r="T10" s="483"/>
      <x:c r="U10" s="483"/>
      <x:c r="V10" s="483"/>
      <x:c r="W10" s="483"/>
    </x:row>
    <x:row r="11" ht="54" customHeight="1">
      <x:c r="A11" s="784" t="str">
        <x:v>SOC-5</x:v>
      </x:c>
      <x:c r="B11" s="785" t="str">
        <x:v>Discord</x:v>
      </x:c>
      <x:c r="C11" s="785" t="str">
        <x:v>Discord</x:v>
      </x:c>
      <x:c r="D11" s="785" t="str">
        <x:v>Discord Account Linking</x:v>
      </x:c>
      <x:c r="E11" s="785" t="str">
        <x:v>Official current documentation</x:v>
      </x:c>
      <x:c r="F11" s="785" t="str">
        <x:v>Discord supports explicit application account-linking patterns.</x:v>
      </x:c>
      <x:c r="G11" s="786" t="str">
        <x:v>https://docs.discord.com/developers/platform/account-linking</x:v>
      </x:c>
      <x:c r="H11" s="483"/>
      <x:c r="I11" s="483"/>
      <x:c r="J11" s="483"/>
      <x:c r="K11" s="483"/>
      <x:c r="L11" s="483"/>
      <x:c r="M11" s="483"/>
      <x:c r="N11" s="483"/>
      <x:c r="O11" s="483"/>
      <x:c r="P11" s="483"/>
      <x:c r="Q11" s="483"/>
      <x:c r="R11" s="483"/>
      <x:c r="S11" s="483"/>
      <x:c r="T11" s="483"/>
      <x:c r="U11" s="483"/>
      <x:c r="V11" s="483"/>
      <x:c r="W11" s="483"/>
    </x:row>
    <x:row r="12" ht="54" customHeight="1">
      <x:c r="A12" s="784" t="str">
        <x:v>SOC-6</x:v>
      </x:c>
      <x:c r="B12" s="785" t="str">
        <x:v>Discord</x:v>
      </x:c>
      <x:c r="C12" s="785" t="str">
        <x:v>Discord</x:v>
      </x:c>
      <x:c r="D12" s="785" t="str">
        <x:v>Account Linking on Mobile</x:v>
      </x:c>
      <x:c r="E12" s="785" t="str">
        <x:v>Official current documentation</x:v>
      </x:c>
      <x:c r="F12" s="785" t="str">
        <x:v>PKCE and redirect binding are especially important for native/mobile account-linking flows.</x:v>
      </x:c>
      <x:c r="G12" s="786" t="str">
        <x:v>https://docs.discord.com/developers/discord-social-sdk/development-guides/account-linking-on-mobile</x:v>
      </x:c>
      <x:c r="H12" s="483"/>
      <x:c r="I12" s="483"/>
      <x:c r="J12" s="483"/>
      <x:c r="K12" s="483"/>
      <x:c r="L12" s="483"/>
      <x:c r="M12" s="483"/>
      <x:c r="N12" s="483"/>
      <x:c r="O12" s="483"/>
      <x:c r="P12" s="483"/>
      <x:c r="Q12" s="483"/>
      <x:c r="R12" s="483"/>
      <x:c r="S12" s="483"/>
      <x:c r="T12" s="483"/>
      <x:c r="U12" s="483"/>
      <x:c r="V12" s="483"/>
      <x:c r="W12" s="483"/>
    </x:row>
    <x:row r="13" ht="54" customHeight="1">
      <x:c r="A13" s="784" t="str">
        <x:v>SEC-1</x:v>
      </x:c>
      <x:c r="B13" s="785" t="str">
        <x:v>OAuth security</x:v>
      </x:c>
      <x:c r="C13" s="785" t="str">
        <x:v>IETF</x:v>
      </x:c>
      <x:c r="D13" s="785" t="str">
        <x:v>RFC 9700 — OAuth 2.0 Security Best Current Practice</x:v>
      </x:c>
      <x:c r="E13" s="785" t="str">
        <x:v>Best Current Practice</x:v>
      </x:c>
      <x:c r="F13" s="785" t="str">
        <x:v>Use authorization code, PKCE S256, exact redirects, issuer/context checks, and transaction binding.</x:v>
      </x:c>
      <x:c r="G13" s="786" t="str">
        <x:v>https://datatracker.ietf.org/doc/rfc9700/</x:v>
      </x:c>
      <x:c r="H13" s="483"/>
      <x:c r="I13" s="483"/>
      <x:c r="J13" s="483"/>
      <x:c r="K13" s="483"/>
      <x:c r="L13" s="483"/>
      <x:c r="M13" s="483"/>
      <x:c r="N13" s="483"/>
      <x:c r="O13" s="483"/>
      <x:c r="P13" s="483"/>
      <x:c r="Q13" s="483"/>
      <x:c r="R13" s="483"/>
      <x:c r="S13" s="483"/>
      <x:c r="T13" s="483"/>
      <x:c r="U13" s="483"/>
      <x:c r="V13" s="483"/>
      <x:c r="W13" s="483"/>
    </x:row>
    <x:row r="14" ht="54" customHeight="1">
      <x:c r="A14" s="784" t="str">
        <x:v>SEC-2</x:v>
      </x:c>
      <x:c r="B14" s="785" t="str">
        <x:v>OAuth security</x:v>
      </x:c>
      <x:c r="C14" s="785" t="str">
        <x:v>IETF OAuth WG</x:v>
      </x:c>
      <x:c r="D14" s="785" t="str">
        <x:v>Updates to OAuth 2.0 Security BCP</x:v>
      </x:c>
      <x:c r="E14" s="785" t="str">
        <x:v>Active 2026 Internet-Draft</x:v>
      </x:c>
      <x:c r="F14" s="785" t="str">
        <x:v>COAT and cross-user session fixation require provider/toolkit/tenant isolation and same-user start/finish binding; PKCE alone is insufficient.</x:v>
      </x:c>
      <x:c r="G14" s="786" t="str">
        <x:v>https://datatracker.ietf.org/doc/draft-ietf-oauth-security-topics-update/</x:v>
      </x:c>
      <x:c r="H14" s="483"/>
      <x:c r="I14" s="483"/>
      <x:c r="J14" s="483"/>
      <x:c r="K14" s="483"/>
      <x:c r="L14" s="483"/>
      <x:c r="M14" s="483"/>
      <x:c r="N14" s="483"/>
      <x:c r="O14" s="483"/>
      <x:c r="P14" s="483"/>
      <x:c r="Q14" s="483"/>
      <x:c r="R14" s="483"/>
      <x:c r="S14" s="483"/>
      <x:c r="T14" s="483"/>
      <x:c r="U14" s="483"/>
      <x:c r="V14" s="483"/>
      <x:c r="W14" s="483"/>
    </x:row>
    <x:row r="15" ht="54" customHeight="1">
      <x:c r="A15" s="784" t="str">
        <x:v>SEC-3</x:v>
      </x:c>
      <x:c r="B15" s="785" t="str">
        <x:v>Cross-device security</x:v>
      </x:c>
      <x:c r="C15" s="785" t="str">
        <x:v>IETF OAuth WG</x:v>
      </x:c>
      <x:c r="D15" s="785" t="str">
        <x:v>Cross-Device Flows: Security Best Current Practice</x:v>
      </x:c>
      <x:c r="E15" s="785" t="str">
        <x:v>RFC publication queue / 2026 draft</x:v>
      </x:c>
      <x:c r="F15" s="785" t="str">
        <x:v>Deep-link and QR flows need unique, short-lived, single-use codes, request binding, confirmation, and abuse controls.</x:v>
      </x:c>
      <x:c r="G15" s="786" t="str">
        <x:v>https://datatracker.ietf.org/doc/draft-ietf-oauth-cross-device-security/16/</x:v>
      </x:c>
      <x:c r="H15" s="483"/>
      <x:c r="I15" s="483"/>
      <x:c r="J15" s="483"/>
      <x:c r="K15" s="483"/>
      <x:c r="L15" s="483"/>
      <x:c r="M15" s="483"/>
      <x:c r="N15" s="483"/>
      <x:c r="O15" s="483"/>
      <x:c r="P15" s="483"/>
      <x:c r="Q15" s="483"/>
      <x:c r="R15" s="483"/>
      <x:c r="S15" s="483"/>
      <x:c r="T15" s="483"/>
      <x:c r="U15" s="483"/>
      <x:c r="V15" s="483"/>
      <x:c r="W15" s="483"/>
    </x:row>
    <x:row r="16" ht="54" customHeight="1">
      <x:c r="A16" s="784" t="str">
        <x:v>WAL-1</x:v>
      </x:c>
      <x:c r="B16" s="785" t="str">
        <x:v>Chain-agnostic wallet standard</x:v>
      </x:c>
      <x:c r="C16" s="785" t="str">
        <x:v>Chain Agnostic Standards Alliance</x:v>
      </x:c>
      <x:c r="D16" s="785" t="str">
        <x:v>CAIP-122 — Sign-In With X</x:v>
      </x:c>
      <x:c r="E16" s="785" t="str">
        <x:v>Review</x:v>
      </x:c>
      <x:c r="F16" s="785" t="str">
        <x:v>Provider-neutral sign-in message model using chain/account identifiers beyond Ethereum.</x:v>
      </x:c>
      <x:c r="G16" s="786" t="str">
        <x:v>https://standards.chainagnostic.org/CAIPs/caip-122</x:v>
      </x:c>
      <x:c r="H16" s="483"/>
      <x:c r="I16" s="483"/>
      <x:c r="J16" s="483"/>
      <x:c r="K16" s="483"/>
      <x:c r="L16" s="483"/>
      <x:c r="M16" s="483"/>
      <x:c r="N16" s="483"/>
      <x:c r="O16" s="483"/>
      <x:c r="P16" s="483"/>
      <x:c r="Q16" s="483"/>
      <x:c r="R16" s="483"/>
      <x:c r="S16" s="483"/>
      <x:c r="T16" s="483"/>
      <x:c r="U16" s="483"/>
      <x:c r="V16" s="483"/>
      <x:c r="W16" s="483"/>
    </x:row>
    <x:row r="17" ht="54" customHeight="1">
      <x:c r="A17" s="784" t="str">
        <x:v>WAL-2</x:v>
      </x:c>
      <x:c r="B17" s="785" t="str">
        <x:v>Chain-agnostic wallet standard</x:v>
      </x:c>
      <x:c r="C17" s="785" t="str">
        <x:v>Chain Agnostic Standards Alliance</x:v>
      </x:c>
      <x:c r="D17" s="785" t="str">
        <x:v>CAIP-196 — CACAO</x:v>
      </x:c>
      <x:c r="E17" s="785" t="str">
        <x:v>Draft</x:v>
      </x:c>
      <x:c r="F17" s="785" t="str">
        <x:v>Common proof/capability envelope for SIWx, SIWE, UCAN, and multiple signature types.</x:v>
      </x:c>
      <x:c r="G17" s="786" t="str">
        <x:v>https://standards.chainagnostic.org/CAIPs/caip-196</x:v>
      </x:c>
      <x:c r="H17" s="483"/>
      <x:c r="I17" s="483"/>
      <x:c r="J17" s="483"/>
      <x:c r="K17" s="483"/>
      <x:c r="L17" s="483"/>
      <x:c r="M17" s="483"/>
      <x:c r="N17" s="483"/>
      <x:c r="O17" s="483"/>
      <x:c r="P17" s="483"/>
      <x:c r="Q17" s="483"/>
      <x:c r="R17" s="483"/>
      <x:c r="S17" s="483"/>
      <x:c r="T17" s="483"/>
      <x:c r="U17" s="483"/>
      <x:c r="V17" s="483"/>
      <x:c r="W17" s="483"/>
    </x:row>
    <x:row r="18" ht="54" customHeight="1">
      <x:c r="A18" s="784" t="str">
        <x:v>WAL-3</x:v>
      </x:c>
      <x:c r="B18" s="785" t="str">
        <x:v>Chain-agnostic wallet standard</x:v>
      </x:c>
      <x:c r="C18" s="785" t="str">
        <x:v>Chain Agnostic Standards Alliance</x:v>
      </x:c>
      <x:c r="D18" s="785" t="str">
        <x:v>CAIP-222 — wallet_authenticate</x:v>
      </x:c>
      <x:c r="E18" s="785" t="str">
        <x:v>Emerging standard</x:v>
      </x:c>
      <x:c r="F18" s="785" t="str">
        <x:v>Bundles account exposure and cryptographic authentication in one request before the account is known.</x:v>
      </x:c>
      <x:c r="G18" s="786" t="str">
        <x:v>https://standards.chainagnostic.org/CAIPs/caip-222</x:v>
      </x:c>
      <x:c r="H18" s="483"/>
      <x:c r="I18" s="483"/>
      <x:c r="J18" s="483"/>
      <x:c r="K18" s="483"/>
      <x:c r="L18" s="483"/>
      <x:c r="M18" s="483"/>
      <x:c r="N18" s="483"/>
      <x:c r="O18" s="483"/>
      <x:c r="P18" s="483"/>
      <x:c r="Q18" s="483"/>
      <x:c r="R18" s="483"/>
      <x:c r="S18" s="483"/>
      <x:c r="T18" s="483"/>
      <x:c r="U18" s="483"/>
      <x:c r="V18" s="483"/>
      <x:c r="W18" s="483"/>
    </x:row>
    <x:row r="19" ht="54" customHeight="1">
      <x:c r="A19" s="784" t="str">
        <x:v>WAL-4</x:v>
      </x:c>
      <x:c r="B19" s="785" t="str">
        <x:v>Ethereum wallet standard</x:v>
      </x:c>
      <x:c r="C19" s="785" t="str">
        <x:v>Ethereum</x:v>
      </x:c>
      <x:c r="D19" s="785" t="str">
        <x:v>EIP-4361 — Sign-In with Ethereum</x:v>
      </x:c>
      <x:c r="E19" s="785" t="str">
        <x:v>Final</x:v>
      </x:c>
      <x:c r="F19" s="785" t="str">
        <x:v>Canonical EVM wallet-auth message with nonce, origin, chain, time, and resource binding.</x:v>
      </x:c>
      <x:c r="G19" s="786" t="str">
        <x:v>https://eips.ethereum.org/EIPS/eip-4361</x:v>
      </x:c>
      <x:c r="H19" s="483"/>
      <x:c r="I19" s="483"/>
      <x:c r="J19" s="483"/>
      <x:c r="K19" s="483"/>
      <x:c r="L19" s="483"/>
      <x:c r="M19" s="483"/>
      <x:c r="N19" s="483"/>
      <x:c r="O19" s="483"/>
      <x:c r="P19" s="483"/>
      <x:c r="Q19" s="483"/>
      <x:c r="R19" s="483"/>
      <x:c r="S19" s="483"/>
      <x:c r="T19" s="483"/>
      <x:c r="U19" s="483"/>
      <x:c r="V19" s="483"/>
      <x:c r="W19" s="483"/>
    </x:row>
    <x:row r="20" ht="54" customHeight="1">
      <x:c r="A20" s="784" t="str">
        <x:v>WAL-5</x:v>
      </x:c>
      <x:c r="B20" s="785" t="str">
        <x:v>Wallet transport</x:v>
      </x:c>
      <x:c r="C20" s="785" t="str">
        <x:v>Reown</x:v>
      </x:c>
      <x:c r="D20" s="785" t="str">
        <x:v>AppKit One-Click Auth</x:v>
      </x:c>
      <x:c r="E20" s="785" t="str">
        <x:v>Production product</x:v>
      </x:c>
      <x:c r="F20" s="785" t="str">
        <x:v>Preferred practical path to combine WalletConnect session establishment and SIWE authentication when supported.</x:v>
      </x:c>
      <x:c r="G20" s="786" t="str">
        <x:v>https://docs.reown.com/appkit/authentication/one-click-auth</x:v>
      </x:c>
      <x:c r="H20" s="483"/>
      <x:c r="I20" s="483"/>
      <x:c r="J20" s="483"/>
      <x:c r="K20" s="483"/>
      <x:c r="L20" s="483"/>
      <x:c r="M20" s="483"/>
      <x:c r="N20" s="483"/>
      <x:c r="O20" s="483"/>
      <x:c r="P20" s="483"/>
      <x:c r="Q20" s="483"/>
      <x:c r="R20" s="483"/>
      <x:c r="S20" s="483"/>
      <x:c r="T20" s="483"/>
      <x:c r="U20" s="483"/>
      <x:c r="V20" s="483"/>
      <x:c r="W20" s="483"/>
    </x:row>
    <x:row r="21" ht="54" customHeight="1">
      <x:c r="A21" s="784" t="str">
        <x:v>WAL-6</x:v>
      </x:c>
      <x:c r="B21" s="785" t="str">
        <x:v>Wallet transport</x:v>
      </x:c>
      <x:c r="C21" s="785" t="str">
        <x:v>Reown</x:v>
      </x:c>
      <x:c r="D21" s="785" t="str">
        <x:v>AppKit SIWX</x:v>
      </x:c>
      <x:c r="E21" s="785" t="str">
        <x:v>Production product</x:v>
      </x:c>
      <x:c r="F21" s="785" t="str">
        <x:v>CAIP-122-oriented multi-chain wallet authentication and capability detection.</x:v>
      </x:c>
      <x:c r="G21" s="786" t="str">
        <x:v>https://docs.reown.com/appkit/react-native/core/siwx</x:v>
      </x:c>
      <x:c r="H21" s="483"/>
      <x:c r="I21" s="483"/>
      <x:c r="J21" s="483"/>
      <x:c r="K21" s="483"/>
      <x:c r="L21" s="483"/>
      <x:c r="M21" s="483"/>
      <x:c r="N21" s="483"/>
      <x:c r="O21" s="483"/>
      <x:c r="P21" s="483"/>
      <x:c r="Q21" s="483"/>
      <x:c r="R21" s="483"/>
      <x:c r="S21" s="483"/>
      <x:c r="T21" s="483"/>
      <x:c r="U21" s="483"/>
      <x:c r="V21" s="483"/>
      <x:c r="W21" s="483"/>
    </x:row>
    <x:row r="22" ht="54" customHeight="1">
      <x:c r="A22" s="784" t="str">
        <x:v>WAL-7</x:v>
      </x:c>
      <x:c r="B22" s="785" t="str">
        <x:v>Ethereum wallet standard</x:v>
      </x:c>
      <x:c r="C22" s="785" t="str">
        <x:v>Ethereum</x:v>
      </x:c>
      <x:c r="D22" s="785" t="str">
        <x:v>ERC-7846 — wallet_connect</x:v>
      </x:c>
      <x:c r="E22" s="785" t="str">
        <x:v>Draft</x:v>
      </x:c>
      <x:c r="F22" s="785" t="str">
        <x:v>Provider-level proposal to combine wallet connection and SIWE into one wallet interaction.</x:v>
      </x:c>
      <x:c r="G22" s="786" t="str">
        <x:v>https://ercs.ethereum.org/ERCS/erc-7846</x:v>
      </x:c>
      <x:c r="H22" s="483"/>
      <x:c r="I22" s="483"/>
      <x:c r="J22" s="483"/>
      <x:c r="K22" s="483"/>
      <x:c r="L22" s="483"/>
      <x:c r="M22" s="483"/>
      <x:c r="N22" s="483"/>
      <x:c r="O22" s="483"/>
      <x:c r="P22" s="483"/>
      <x:c r="Q22" s="483"/>
      <x:c r="R22" s="483"/>
      <x:c r="S22" s="483"/>
      <x:c r="T22" s="483"/>
      <x:c r="U22" s="483"/>
      <x:c r="V22" s="483"/>
      <x:c r="W22" s="483"/>
    </x:row>
    <x:row r="23" ht="54" customHeight="1">
      <x:c r="A23" s="784" t="str">
        <x:v>WAL-8</x:v>
      </x:c>
      <x:c r="B23" s="785" t="str">
        <x:v>Ethereum wallet standard</x:v>
      </x:c>
      <x:c r="C23" s="785" t="str">
        <x:v>Ethereum</x:v>
      </x:c>
      <x:c r="D23" s="785" t="str">
        <x:v>ERC-8019 — Wallet-Managed Auto-Login for SIWE</x:v>
      </x:c>
      <x:c r="E23" s="785" t="str">
        <x:v>Review</x:v>
      </x:c>
      <x:c r="F23" s="785" t="str">
        <x:v>Future wallet-local allowlist for zero-prompt SIWE after explicit trust policy.</x:v>
      </x:c>
      <x:c r="G23" s="786" t="str">
        <x:v>https://raw.githubusercontent.com/ethereum/ERCs/master/ERCS/erc-8019.md</x:v>
      </x:c>
      <x:c r="H23" s="483"/>
      <x:c r="I23" s="483"/>
      <x:c r="J23" s="483"/>
      <x:c r="K23" s="483"/>
      <x:c r="L23" s="483"/>
      <x:c r="M23" s="483"/>
      <x:c r="N23" s="483"/>
      <x:c r="O23" s="483"/>
      <x:c r="P23" s="483"/>
      <x:c r="Q23" s="483"/>
      <x:c r="R23" s="483"/>
      <x:c r="S23" s="483"/>
      <x:c r="T23" s="483"/>
      <x:c r="U23" s="483"/>
      <x:c r="V23" s="483"/>
      <x:c r="W23" s="483"/>
    </x:row>
    <x:row r="24" ht="54" customHeight="1">
      <x:c r="A24" s="784" t="str">
        <x:v>WAL-9</x:v>
      </x:c>
      <x:c r="B24" s="785" t="str">
        <x:v>Wallet delegation</x:v>
      </x:c>
      <x:c r="C24" s="785" t="str">
        <x:v>WalletConnect</x:v>
      </x:c>
      <x:c r="D24" s="785" t="str">
        <x:v>Identity Keys</x:v>
      </x:c>
      <x:c r="E24" s="785" t="str">
        <x:v>WalletConnect specification</x:v>
      </x:c>
      <x:c r="F24" s="785" t="str">
        <x:v>A wallet can authorize a device/account-specific identity key to reduce repeated blockchain-key signatures.</x:v>
      </x:c>
      <x:c r="G24" s="786" t="str">
        <x:v>https://specs.walletconnect.com/2.0/specs/clients/core/identity/identity-keys</x:v>
      </x:c>
      <x:c r="H24" s="483"/>
      <x:c r="I24" s="483"/>
      <x:c r="J24" s="483"/>
      <x:c r="K24" s="483"/>
      <x:c r="L24" s="483"/>
      <x:c r="M24" s="483"/>
      <x:c r="N24" s="483"/>
      <x:c r="O24" s="483"/>
      <x:c r="P24" s="483"/>
      <x:c r="Q24" s="483"/>
      <x:c r="R24" s="483"/>
      <x:c r="S24" s="483"/>
      <x:c r="T24" s="483"/>
      <x:c r="U24" s="483"/>
      <x:c r="V24" s="483"/>
      <x:c r="W24" s="483"/>
    </x:row>
    <x:row r="25" ht="54" customHeight="1">
      <x:c r="A25" s="784" t="str">
        <x:v>WAL-10</x:v>
      </x:c>
      <x:c r="B25" s="785" t="str">
        <x:v>Wallet delegation</x:v>
      </x:c>
      <x:c r="C25" s="785" t="str">
        <x:v>WalletConnect</x:v>
      </x:c>
      <x:c r="D25" s="785" t="str">
        <x:v>Wallet Authentication and ReCaps</x:v>
      </x:c>
      <x:c r="E25" s="785" t="str">
        <x:v>WalletConnect specification</x:v>
      </x:c>
      <x:c r="F25" s="785" t="str">
        <x:v>Authenticated wallet sessions can carry scoped capabilities through ReCaps.</x:v>
      </x:c>
      <x:c r="G25" s="786" t="str">
        <x:v>https://specs.walletconnect.com/2.0/specs/clients/sign/wallet-authentication</x:v>
      </x:c>
      <x:c r="H25" s="483"/>
      <x:c r="I25" s="483"/>
      <x:c r="J25" s="483"/>
      <x:c r="K25" s="483"/>
      <x:c r="L25" s="483"/>
      <x:c r="M25" s="483"/>
      <x:c r="N25" s="483"/>
      <x:c r="O25" s="483"/>
      <x:c r="P25" s="483"/>
      <x:c r="Q25" s="483"/>
      <x:c r="R25" s="483"/>
      <x:c r="S25" s="483"/>
      <x:c r="T25" s="483"/>
      <x:c r="U25" s="483"/>
      <x:c r="V25" s="483"/>
      <x:c r="W25" s="483"/>
    </x:row>
    <x:row r="26" ht="54" customHeight="1">
      <x:c r="A26" s="784" t="str">
        <x:v>AUT-1</x:v>
      </x:c>
      <x:c r="B26" s="785" t="str">
        <x:v>Credential framework</x:v>
      </x:c>
      <x:c r="C26" s="785" t="str">
        <x:v>Better Auth</x:v>
      </x:c>
      <x:c r="D26" s="785" t="str">
        <x:v>Generic OAuth</x:v>
      </x:c>
      <x:c r="E26" s="785" t="str">
        <x:v>Production library</x:v>
      </x:c>
      <x:c r="F26" s="785" t="str">
        <x:v>Generic OAuth/OIDC adapters and explicit link-account endpoint requiring an existing session.</x:v>
      </x:c>
      <x:c r="G26" s="786" t="str">
        <x:v>https://www.better-auth.com/docs/plugins/generic-oauth</x:v>
      </x:c>
      <x:c r="H26" s="483"/>
      <x:c r="I26" s="483"/>
      <x:c r="J26" s="483"/>
      <x:c r="K26" s="483"/>
      <x:c r="L26" s="483"/>
      <x:c r="M26" s="483"/>
      <x:c r="N26" s="483"/>
      <x:c r="O26" s="483"/>
      <x:c r="P26" s="483"/>
      <x:c r="Q26" s="483"/>
      <x:c r="R26" s="483"/>
      <x:c r="S26" s="483"/>
      <x:c r="T26" s="483"/>
      <x:c r="U26" s="483"/>
      <x:c r="V26" s="483"/>
      <x:c r="W26" s="483"/>
    </x:row>
    <x:row r="27" ht="54" customHeight="1">
      <x:c r="A27" s="784" t="str">
        <x:v>AUT-2</x:v>
      </x:c>
      <x:c r="B27" s="785" t="str">
        <x:v>Credential framework</x:v>
      </x:c>
      <x:c r="C27" s="785" t="str">
        <x:v>Better Auth</x:v>
      </x:c>
      <x:c r="D27" s="785" t="str">
        <x:v>Passkey Plugin</x:v>
      </x:c>
      <x:c r="E27" s="785" t="str">
        <x:v>Production library</x:v>
      </x:c>
      <x:c r="F27" s="785" t="str">
        <x:v>WebAuthn/FIDO2 passkey enrollment and sign-in, including conditional UI.</x:v>
      </x:c>
      <x:c r="G27" s="786" t="str">
        <x:v>https://www.better-auth.com/docs/plugins/passkey</x:v>
      </x:c>
      <x:c r="H27" s="483"/>
      <x:c r="I27" s="483"/>
      <x:c r="J27" s="483"/>
      <x:c r="K27" s="483"/>
      <x:c r="L27" s="483"/>
      <x:c r="M27" s="483"/>
      <x:c r="N27" s="483"/>
      <x:c r="O27" s="483"/>
      <x:c r="P27" s="483"/>
      <x:c r="Q27" s="483"/>
      <x:c r="R27" s="483"/>
      <x:c r="S27" s="483"/>
      <x:c r="T27" s="483"/>
      <x:c r="U27" s="483"/>
      <x:c r="V27" s="483"/>
      <x:c r="W27" s="483"/>
    </x:row>
    <x:row r="28" ht="54" customHeight="1">
      <x:c r="A28" s="784" t="str">
        <x:v>AUT-3</x:v>
      </x:c>
      <x:c r="B28" s="785" t="str">
        <x:v>Identity broker</x:v>
      </x:c>
      <x:c r="C28" s="785" t="str">
        <x:v>Keycloak</x:v>
      </x:c>
      <x:c r="D28" s="785" t="str">
        <x:v>Keycloak Documentation 26.7</x:v>
      </x:c>
      <x:c r="E28" s="785" t="str">
        <x:v>Mature open source</x:v>
      </x:c>
      <x:c r="F28" s="785" t="str">
        <x:v>Self-hosted OIDC/OAuth identity brokering, administration, and authorization services.</x:v>
      </x:c>
      <x:c r="G28" s="786" t="str">
        <x:v>https://www.keycloak.org/documentation</x:v>
      </x:c>
      <x:c r="H28" s="483"/>
      <x:c r="I28" s="483"/>
      <x:c r="J28" s="483"/>
      <x:c r="K28" s="483"/>
      <x:c r="L28" s="483"/>
      <x:c r="M28" s="483"/>
      <x:c r="N28" s="483"/>
      <x:c r="O28" s="483"/>
      <x:c r="P28" s="483"/>
      <x:c r="Q28" s="483"/>
      <x:c r="R28" s="483"/>
      <x:c r="S28" s="483"/>
      <x:c r="T28" s="483"/>
      <x:c r="U28" s="483"/>
      <x:c r="V28" s="483"/>
      <x:c r="W28" s="483"/>
    </x:row>
    <x:row r="29" ht="54" customHeight="1">
      <x:c r="A29" s="784" t="str">
        <x:v>AUT-4</x:v>
      </x:c>
      <x:c r="B29" s="785" t="str">
        <x:v>Identity broker</x:v>
      </x:c>
      <x:c r="C29" s="785" t="str">
        <x:v>Ory</x:v>
      </x:c>
      <x:c r="D29" s="785" t="str">
        <x:v>Ory Documentation</x:v>
      </x:c>
      <x:c r="E29" s="785" t="str">
        <x:v>Managed and open-source options</x:v>
      </x:c>
      <x:c r="F29" s="785" t="str">
        <x:v>Modern authentication, user management, and OAuth/OIDC building blocks with multiple deployment models.</x:v>
      </x:c>
      <x:c r="G29" s="786" t="str">
        <x:v>https://www.ory.sh/docs</x:v>
      </x:c>
      <x:c r="H29" s="483"/>
      <x:c r="I29" s="483"/>
      <x:c r="J29" s="483"/>
      <x:c r="K29" s="483"/>
      <x:c r="L29" s="483"/>
      <x:c r="M29" s="483"/>
      <x:c r="N29" s="483"/>
      <x:c r="O29" s="483"/>
      <x:c r="P29" s="483"/>
      <x:c r="Q29" s="483"/>
      <x:c r="R29" s="483"/>
      <x:c r="S29" s="483"/>
      <x:c r="T29" s="483"/>
      <x:c r="U29" s="483"/>
      <x:c r="V29" s="483"/>
      <x:c r="W29" s="483"/>
    </x:row>
    <x:row r="30" ht="54" customHeight="1">
      <x:c r="A30" s="784" t="str">
        <x:v>PASS-1</x:v>
      </x:c>
      <x:c r="B30" s="785" t="str">
        <x:v>Passkeys</x:v>
      </x:c>
      <x:c r="C30" s="785" t="str">
        <x:v>W3C</x:v>
      </x:c>
      <x:c r="D30" s="785" t="str">
        <x:v>Web Authentication Level 3</x:v>
      </x:c>
      <x:c r="E30" s="785" t="str">
        <x:v>Candidate Recommendation</x:v>
      </x:c>
      <x:c r="F30" s="785" t="str">
        <x:v>Origin/RP-scoped public-key credentials with user verification and phishing-resistant authentication.</x:v>
      </x:c>
      <x:c r="G30" s="786" t="str">
        <x:v>https://www.w3.org/TR/webauthn-3/</x:v>
      </x:c>
      <x:c r="H30" s="483"/>
      <x:c r="I30" s="483"/>
      <x:c r="J30" s="483"/>
      <x:c r="K30" s="483"/>
      <x:c r="L30" s="483"/>
      <x:c r="M30" s="483"/>
      <x:c r="N30" s="483"/>
      <x:c r="O30" s="483"/>
      <x:c r="P30" s="483"/>
      <x:c r="Q30" s="483"/>
      <x:c r="R30" s="483"/>
      <x:c r="S30" s="483"/>
      <x:c r="T30" s="483"/>
      <x:c r="U30" s="483"/>
      <x:c r="V30" s="483"/>
      <x:c r="W30" s="483"/>
    </x:row>
    <x:row r="31" ht="54" customHeight="1">
      <x:c r="A31" s="784" t="str">
        <x:v>PASS-2</x:v>
      </x:c>
      <x:c r="B31" s="785" t="str">
        <x:v>Passkeys</x:v>
      </x:c>
      <x:c r="C31" s="785" t="str">
        <x:v>NIST</x:v>
      </x:c>
      <x:c r="D31" s="785" t="str">
        <x:v>SP 800-63B-4 — Syncable Authenticators</x:v>
      </x:c>
      <x:c r="E31" s="785" t="str">
        <x:v>Current NIST guidance</x:v>
      </x:c>
      <x:c r="F31" s="785" t="str">
        <x:v>Synced passkeys can support AAL2 with controls but do not satisfy the non-exportability expected at AAL3.</x:v>
      </x:c>
      <x:c r="G31" s="786" t="str">
        <x:v>https://pages.nist.gov/800-63-4/sp800-63b/syncable/</x:v>
      </x:c>
      <x:c r="H31" s="483"/>
      <x:c r="I31" s="483"/>
      <x:c r="J31" s="483"/>
      <x:c r="K31" s="483"/>
      <x:c r="L31" s="483"/>
      <x:c r="M31" s="483"/>
      <x:c r="N31" s="483"/>
      <x:c r="O31" s="483"/>
      <x:c r="P31" s="483"/>
      <x:c r="Q31" s="483"/>
      <x:c r="R31" s="483"/>
      <x:c r="S31" s="483"/>
      <x:c r="T31" s="483"/>
      <x:c r="U31" s="483"/>
      <x:c r="V31" s="483"/>
      <x:c r="W31" s="483"/>
    </x:row>
    <x:row r="32" ht="54" customHeight="1">
      <x:c r="A32" s="784" t="str">
        <x:v>PASS-3</x:v>
      </x:c>
      <x:c r="B32" s="785" t="str">
        <x:v>Passkeys</x:v>
      </x:c>
      <x:c r="C32" s="785" t="str">
        <x:v>ICISSP 2025</x:v>
      </x:c>
      <x:c r="D32" s="785" t="str">
        <x:v>Device-Bound vs. Synced Credentials</x:v>
      </x:c>
      <x:c r="E32" s="785" t="str">
        <x:v>Peer-reviewed research</x:v>
      </x:c>
      <x:c r="F32" s="785" t="str">
        <x:v>Synced passkeys improve availability and recovery but concentrate security in the passkey provider; device-bound credentials offer stronger isolation.</x:v>
      </x:c>
      <x:c r="G32" s="786" t="str">
        <x:v>https://www.scitepress.org/Papers/2025/133806/133806.pdf</x:v>
      </x:c>
      <x:c r="H32" s="483"/>
      <x:c r="I32" s="483"/>
      <x:c r="J32" s="483"/>
      <x:c r="K32" s="483"/>
      <x:c r="L32" s="483"/>
      <x:c r="M32" s="483"/>
      <x:c r="N32" s="483"/>
      <x:c r="O32" s="483"/>
      <x:c r="P32" s="483"/>
      <x:c r="Q32" s="483"/>
      <x:c r="R32" s="483"/>
      <x:c r="S32" s="483"/>
      <x:c r="T32" s="483"/>
      <x:c r="U32" s="483"/>
      <x:c r="V32" s="483"/>
      <x:c r="W32" s="483"/>
    </x:row>
    <x:row r="33" ht="54" customHeight="1">
      <x:c r="A33" s="784" t="str">
        <x:v>VND-1</x:v>
      </x:c>
      <x:c r="B33" s="785" t="str">
        <x:v>Managed accelerator</x:v>
      </x:c>
      <x:c r="C33" s="785" t="str">
        <x:v>Privy</x:v>
      </x:c>
      <x:c r="D33" s="785" t="str">
        <x:v>Privy Authentication</x:v>
      </x:c>
      <x:c r="E33" s="785" t="str">
        <x:v>Production service</x:v>
      </x:c>
      <x:c r="F33" s="785" t="str">
        <x:v>Common user object spanning Discord, Telegram, passkeys, OAuth, email/SMS, and SIWE/SIWS wallet login.</x:v>
      </x:c>
      <x:c r="G33" s="786" t="str">
        <x:v>https://docs.privy.io/authentication/user-authentication/privy-auth</x:v>
      </x:c>
      <x:c r="H33" s="483"/>
      <x:c r="I33" s="483"/>
      <x:c r="J33" s="483"/>
      <x:c r="K33" s="483"/>
      <x:c r="L33" s="483"/>
      <x:c r="M33" s="483"/>
      <x:c r="N33" s="483"/>
      <x:c r="O33" s="483"/>
      <x:c r="P33" s="483"/>
      <x:c r="Q33" s="483"/>
      <x:c r="R33" s="483"/>
      <x:c r="S33" s="483"/>
      <x:c r="T33" s="483"/>
      <x:c r="U33" s="483"/>
      <x:c r="V33" s="483"/>
      <x:c r="W33" s="483"/>
    </x:row>
    <x:row r="34" ht="54" customHeight="1">
      <x:c r="A34" s="784" t="str">
        <x:v>VND-2</x:v>
      </x:c>
      <x:c r="B34" s="785" t="str">
        <x:v>Managed accelerator</x:v>
      </x:c>
      <x:c r="C34" s="785" t="str">
        <x:v>Privy</x:v>
      </x:c>
      <x:c r="D34" s="785" t="str">
        <x:v>Privy Embedded Wallets</x:v>
      </x:c>
      <x:c r="E34" s="785" t="str">
        <x:v>Production service</x:v>
      </x:c>
      <x:c r="F34" s="785" t="str">
        <x:v>Broad multi-chain embedded-wallet infrastructure, policy controls, and key export paths.</x:v>
      </x:c>
      <x:c r="G34" s="786" t="str">
        <x:v>https://docs.privy.io/wallets/overview/embedded</x:v>
      </x:c>
      <x:c r="H34" s="483"/>
      <x:c r="I34" s="483"/>
      <x:c r="J34" s="483"/>
      <x:c r="K34" s="483"/>
      <x:c r="L34" s="483"/>
      <x:c r="M34" s="483"/>
      <x:c r="N34" s="483"/>
      <x:c r="O34" s="483"/>
      <x:c r="P34" s="483"/>
      <x:c r="Q34" s="483"/>
      <x:c r="R34" s="483"/>
      <x:c r="S34" s="483"/>
      <x:c r="T34" s="483"/>
      <x:c r="U34" s="483"/>
      <x:c r="V34" s="483"/>
      <x:c r="W34" s="483"/>
    </x:row>
    <x:row r="35" ht="54" customHeight="1">
      <x:c r="A35" s="784" t="str">
        <x:v>VND-3</x:v>
      </x:c>
      <x:c r="B35" s="785" t="str">
        <x:v>Managed accelerator</x:v>
      </x:c>
      <x:c r="C35" s="785" t="str">
        <x:v>Dynamic</x:v>
      </x:c>
      <x:c r="D35" s="785" t="str">
        <x:v>Dynamic Headless Wallet Management</x:v>
      </x:c>
      <x:c r="E35" s="785" t="str">
        <x:v>Production service</x:v>
      </x:c>
      <x:c r="F35" s="785" t="str">
        <x:v>External/embedded wallet discovery, multi-wallet linking, social auth, and custom UI support.</x:v>
      </x:c>
      <x:c r="G35" s="786" t="str">
        <x:v>https://docs.dynamic.xyz/headless/headless-wallet-management</x:v>
      </x:c>
      <x:c r="H35" s="483"/>
      <x:c r="I35" s="483"/>
      <x:c r="J35" s="483"/>
      <x:c r="K35" s="483"/>
      <x:c r="L35" s="483"/>
      <x:c r="M35" s="483"/>
      <x:c r="N35" s="483"/>
      <x:c r="O35" s="483"/>
      <x:c r="P35" s="483"/>
      <x:c r="Q35" s="483"/>
      <x:c r="R35" s="483"/>
      <x:c r="S35" s="483"/>
      <x:c r="T35" s="483"/>
      <x:c r="U35" s="483"/>
      <x:c r="V35" s="483"/>
      <x:c r="W35" s="483"/>
    </x:row>
    <x:row r="36" ht="54" customHeight="1">
      <x:c r="A36" s="784" t="str">
        <x:v>VND-4</x:v>
      </x:c>
      <x:c r="B36" s="785" t="str">
        <x:v>Managed accelerator</x:v>
      </x:c>
      <x:c r="C36" s="785" t="str">
        <x:v>Dynamic</x:v>
      </x:c>
      <x:c r="D36" s="785" t="str">
        <x:v>Dynamic Security Overview</x:v>
      </x:c>
      <x:c r="E36" s="785" t="str">
        <x:v>Production service</x:v>
      </x:c>
      <x:c r="F36" s="785" t="str">
        <x:v>Managed auth and wallet security architecture using layered controls and secure wallet infrastructure.</x:v>
      </x:c>
      <x:c r="G36" s="786" t="str">
        <x:v>https://docs.dynamic.xyz/security/overview</x:v>
      </x:c>
      <x:c r="H36" s="483"/>
      <x:c r="I36" s="483"/>
      <x:c r="J36" s="483"/>
      <x:c r="K36" s="483"/>
      <x:c r="L36" s="483"/>
      <x:c r="M36" s="483"/>
      <x:c r="N36" s="483"/>
      <x:c r="O36" s="483"/>
      <x:c r="P36" s="483"/>
      <x:c r="Q36" s="483"/>
      <x:c r="R36" s="483"/>
      <x:c r="S36" s="483"/>
      <x:c r="T36" s="483"/>
      <x:c r="U36" s="483"/>
      <x:c r="V36" s="483"/>
      <x:c r="W36" s="483"/>
    </x:row>
    <x:row r="37" ht="54" customHeight="1">
      <x:c r="A37" s="784" t="str">
        <x:v>VND-5</x:v>
      </x:c>
      <x:c r="B37" s="785" t="str">
        <x:v>Managed accelerator</x:v>
      </x:c>
      <x:c r="C37" s="785" t="str">
        <x:v>Coinbase Developer Platform</x:v>
      </x:c>
      <x:c r="D37" s="785" t="str">
        <x:v>Wallet Authentication</x:v>
      </x:c>
      <x:c r="E37" s="785" t="str">
        <x:v>Production service</x:v>
      </x:c>
      <x:c r="F37" s="785" t="str">
        <x:v>Email/SMS/social authentication including Telegram, plus embedded user wallets.</x:v>
      </x:c>
      <x:c r="G37" s="786" t="str">
        <x:v>https://docs.cdp.coinbase.com/wallets/authentication/overview</x:v>
      </x:c>
      <x:c r="H37" s="483"/>
      <x:c r="I37" s="483"/>
      <x:c r="J37" s="483"/>
      <x:c r="K37" s="483"/>
      <x:c r="L37" s="483"/>
      <x:c r="M37" s="483"/>
      <x:c r="N37" s="483"/>
      <x:c r="O37" s="483"/>
      <x:c r="P37" s="483"/>
      <x:c r="Q37" s="483"/>
      <x:c r="R37" s="483"/>
      <x:c r="S37" s="483"/>
      <x:c r="T37" s="483"/>
      <x:c r="U37" s="483"/>
      <x:c r="V37" s="483"/>
      <x:c r="W37" s="483"/>
    </x:row>
    <x:row r="38" ht="54" customHeight="1">
      <x:c r="A38" s="784" t="str">
        <x:v>VND-6</x:v>
      </x:c>
      <x:c r="B38" s="785" t="str">
        <x:v>Managed accelerator</x:v>
      </x:c>
      <x:c r="C38" s="785" t="str">
        <x:v>Coinbase Developer Platform</x:v>
      </x:c>
      <x:c r="D38" s="785" t="str">
        <x:v>Auth Method Linking</x:v>
      </x:c>
      <x:c r="E38" s="785" t="str">
        <x:v>Production service</x:v>
      </x:c>
      <x:c r="F38" s="785" t="str">
        <x:v>Explicit linking of OAuth, OTP, and SIWE methods to a signed-in user.</x:v>
      </x:c>
      <x:c r="G38" s="786" t="str">
        <x:v>https://docs.cdp.coinbase.com/wallets/authentication/auth-method-linking</x:v>
      </x:c>
      <x:c r="H38" s="483"/>
      <x:c r="I38" s="483"/>
      <x:c r="J38" s="483"/>
      <x:c r="K38" s="483"/>
      <x:c r="L38" s="483"/>
      <x:c r="M38" s="483"/>
      <x:c r="N38" s="483"/>
      <x:c r="O38" s="483"/>
      <x:c r="P38" s="483"/>
      <x:c r="Q38" s="483"/>
      <x:c r="R38" s="483"/>
      <x:c r="S38" s="483"/>
      <x:c r="T38" s="483"/>
      <x:c r="U38" s="483"/>
      <x:c r="V38" s="483"/>
      <x:c r="W38" s="483"/>
    </x:row>
    <x:row r="39" ht="54" customHeight="1">
      <x:c r="A39" s="784" t="str">
        <x:v>VND-7</x:v>
      </x:c>
      <x:c r="B39" s="785" t="str">
        <x:v>Managed accelerator</x:v>
      </x:c>
      <x:c r="C39" s="785" t="str">
        <x:v>MetaMask</x:v>
      </x:c>
      <x:c r="D39" s="785" t="str">
        <x:v>Embedded Wallets Authentication</x:v>
      </x:c>
      <x:c r="E39" s="785" t="str">
        <x:v>Production service</x:v>
      </x:c>
      <x:c r="F39" s="785" t="str">
        <x:v>External wallets, Discord and other OAuth providers, plus custom JWT/OIDC identity integration.</x:v>
      </x:c>
      <x:c r="G39" s="786" t="str">
        <x:v>https://docs.metamask.io/embedded-wallets/authentication/</x:v>
      </x:c>
      <x:c r="H39" s="483"/>
      <x:c r="I39" s="483"/>
      <x:c r="J39" s="483"/>
      <x:c r="K39" s="483"/>
      <x:c r="L39" s="483"/>
      <x:c r="M39" s="483"/>
      <x:c r="N39" s="483"/>
      <x:c r="O39" s="483"/>
      <x:c r="P39" s="483"/>
      <x:c r="Q39" s="483"/>
      <x:c r="R39" s="483"/>
      <x:c r="S39" s="483"/>
      <x:c r="T39" s="483"/>
      <x:c r="U39" s="483"/>
      <x:c r="V39" s="483"/>
      <x:c r="W39" s="483"/>
    </x:row>
    <x:row r="40" ht="54" customHeight="1">
      <x:c r="A40" s="784" t="str">
        <x:v>VND-8</x:v>
      </x:c>
      <x:c r="B40" s="785" t="str">
        <x:v>Managed accelerator</x:v>
      </x:c>
      <x:c r="C40" s="785" t="str">
        <x:v>MetaMask</x:v>
      </x:c>
      <x:c r="D40" s="785" t="str">
        <x:v>Embedded Wallets Architecture</x:v>
      </x:c>
      <x:c r="E40" s="785" t="str">
        <x:v>Production service</x:v>
      </x:c>
      <x:c r="F40" s="785" t="str">
        <x:v>Threshold key-share architecture that can sit downstream of an existing JWT identity layer.</x:v>
      </x:c>
      <x:c r="G40" s="786" t="str">
        <x:v>https://docs.metamask.io/embedded-wallets/architecture/</x:v>
      </x:c>
      <x:c r="H40" s="483"/>
      <x:c r="I40" s="483"/>
      <x:c r="J40" s="483"/>
      <x:c r="K40" s="483"/>
      <x:c r="L40" s="483"/>
      <x:c r="M40" s="483"/>
      <x:c r="N40" s="483"/>
      <x:c r="O40" s="483"/>
      <x:c r="P40" s="483"/>
      <x:c r="Q40" s="483"/>
      <x:c r="R40" s="483"/>
      <x:c r="S40" s="483"/>
      <x:c r="T40" s="483"/>
      <x:c r="U40" s="483"/>
      <x:c r="V40" s="483"/>
      <x:c r="W40" s="483"/>
    </x:row>
    <x:row r="41" ht="54" customHeight="1">
      <x:c r="A41" s="784" t="str">
        <x:v>VND-9</x:v>
      </x:c>
      <x:c r="B41" s="785" t="str">
        <x:v>Managed accelerator</x:v>
      </x:c>
      <x:c r="C41" s="785" t="str">
        <x:v>Turnkey</x:v>
      </x:c>
      <x:c r="D41" s="785" t="str">
        <x:v>Embedded Wallets Overview</x:v>
      </x:c>
      <x:c r="E41" s="785" t="str">
        <x:v>Production service</x:v>
      </x:c>
      <x:c r="F41" s="785" t="str">
        <x:v>Passkey/social/OTP auth, multi-chain wallets, enclave key management, policies, and custody choices.</x:v>
      </x:c>
      <x:c r="G41" s="786" t="str">
        <x:v>https://docs.turnkey.com/solutions/embedded-wallets/overview</x:v>
      </x:c>
      <x:c r="H41" s="483"/>
      <x:c r="I41" s="483"/>
      <x:c r="J41" s="483"/>
      <x:c r="K41" s="483"/>
      <x:c r="L41" s="483"/>
      <x:c r="M41" s="483"/>
      <x:c r="N41" s="483"/>
      <x:c r="O41" s="483"/>
      <x:c r="P41" s="483"/>
      <x:c r="Q41" s="483"/>
      <x:c r="R41" s="483"/>
      <x:c r="S41" s="483"/>
      <x:c r="T41" s="483"/>
      <x:c r="U41" s="483"/>
      <x:c r="V41" s="483"/>
      <x:c r="W41" s="483"/>
    </x:row>
    <x:row r="42" ht="54" customHeight="1">
      <x:c r="A42" s="784" t="str">
        <x:v>VND-10</x:v>
      </x:c>
      <x:c r="B42" s="785" t="str">
        <x:v>Managed accelerator</x:v>
      </x:c>
      <x:c r="C42" s="785" t="str">
        <x:v>thirdweb</x:v>
      </x:c>
      <x:c r="D42" s="785" t="str">
        <x:v>Wallets</x:v>
      </x:c>
      <x:c r="E42" s="785" t="str">
        <x:v>Production service</x:v>
      </x:c>
      <x:c r="F42" s="785" t="str">
        <x:v>Rapid embedded wallet onboarding using social, passkey, external-wallet, and account-abstraction flows.</x:v>
      </x:c>
      <x:c r="G42" s="786" t="str">
        <x:v>https://thirdweb.com/wallets</x:v>
      </x:c>
      <x:c r="H42" s="483"/>
      <x:c r="I42" s="483"/>
      <x:c r="J42" s="483"/>
      <x:c r="K42" s="483"/>
      <x:c r="L42" s="483"/>
      <x:c r="M42" s="483"/>
      <x:c r="N42" s="483"/>
      <x:c r="O42" s="483"/>
      <x:c r="P42" s="483"/>
      <x:c r="Q42" s="483"/>
      <x:c r="R42" s="483"/>
      <x:c r="S42" s="483"/>
      <x:c r="T42" s="483"/>
      <x:c r="U42" s="483"/>
      <x:c r="V42" s="483"/>
      <x:c r="W42" s="483"/>
    </x:row>
    <x:row r="43" ht="54" customHeight="1">
      <x:c r="A43" s="787" t="str">
        <x:v>VND-11</x:v>
      </x:c>
      <x:c r="B43" s="788" t="str">
        <x:v>Managed accelerator</x:v>
      </x:c>
      <x:c r="C43" s="788" t="str">
        <x:v>Base</x:v>
      </x:c>
      <x:c r="D43" s="788" t="str">
        <x:v>Base Account Overview</x:v>
      </x:c>
      <x:c r="E43" s="788" t="str">
        <x:v>Production EVM product</x:v>
      </x:c>
      <x:c r="F43" s="788" t="str">
        <x:v>Passkey-backed universal sign-on and smart-wallet identity across supported EVM networks.</x:v>
      </x:c>
      <x:c r="G43" s="789" t="str">
        <x:v>https://docs.base.org/base-account/overview/what-is-base-account</x:v>
      </x:c>
      <x:c r="H43" s="483"/>
      <x:c r="I43" s="483"/>
      <x:c r="J43" s="483"/>
      <x:c r="K43" s="483"/>
      <x:c r="L43" s="483"/>
      <x:c r="M43" s="483"/>
      <x:c r="N43" s="483"/>
      <x:c r="O43" s="483"/>
      <x:c r="P43" s="483"/>
      <x:c r="Q43" s="483"/>
      <x:c r="R43" s="483"/>
      <x:c r="S43" s="483"/>
      <x:c r="T43" s="483"/>
      <x:c r="U43" s="483"/>
      <x:c r="V43" s="483"/>
      <x:c r="W43" s="483"/>
    </x:row>
    <x:row r="44">
      <x:c r="A44" s="483"/>
      <x:c r="B44" s="483"/>
      <x:c r="C44" s="483"/>
      <x:c r="D44" s="483"/>
      <x:c r="E44" s="483"/>
      <x:c r="F44" s="483"/>
      <x:c r="G44" s="483"/>
      <x:c r="H44" s="483"/>
      <x:c r="I44" s="483"/>
      <x:c r="J44" s="483"/>
      <x:c r="K44" s="483"/>
      <x:c r="L44" s="483"/>
      <x:c r="M44" s="483"/>
      <x:c r="N44" s="483"/>
      <x:c r="O44" s="483"/>
      <x:c r="P44" s="483"/>
      <x:c r="Q44" s="483"/>
      <x:c r="R44" s="483"/>
      <x:c r="S44" s="483"/>
      <x:c r="T44" s="483"/>
      <x:c r="U44" s="483"/>
      <x:c r="V44" s="483"/>
      <x:c r="W44" s="483"/>
    </x:row>
    <x:row r="45">
      <x:c r="A45" s="483"/>
      <x:c r="B45" s="483"/>
      <x:c r="C45" s="483"/>
      <x:c r="D45" s="483"/>
      <x:c r="E45" s="483"/>
      <x:c r="F45" s="483"/>
      <x:c r="G45" s="483"/>
      <x:c r="H45" s="483"/>
      <x:c r="I45" s="483"/>
      <x:c r="J45" s="483"/>
      <x:c r="K45" s="483"/>
      <x:c r="L45" s="483"/>
      <x:c r="M45" s="483"/>
      <x:c r="N45" s="483"/>
      <x:c r="O45" s="483"/>
      <x:c r="P45" s="483"/>
      <x:c r="Q45" s="483"/>
      <x:c r="R45" s="483"/>
      <x:c r="S45" s="483"/>
      <x:c r="T45" s="483"/>
      <x:c r="U45" s="483"/>
      <x:c r="V45" s="483"/>
      <x:c r="W45" s="483"/>
    </x:row>
    <x:row r="46">
      <x:c r="A46" s="483"/>
      <x:c r="B46" s="483"/>
      <x:c r="C46" s="483"/>
      <x:c r="D46" s="483"/>
      <x:c r="E46" s="483"/>
      <x:c r="F46" s="483"/>
      <x:c r="G46" s="483"/>
      <x:c r="H46" s="483"/>
      <x:c r="I46" s="483"/>
      <x:c r="J46" s="483"/>
      <x:c r="K46" s="483"/>
      <x:c r="L46" s="483"/>
      <x:c r="M46" s="483"/>
      <x:c r="N46" s="483"/>
      <x:c r="O46" s="483"/>
      <x:c r="P46" s="483"/>
      <x:c r="Q46" s="483"/>
      <x:c r="R46" s="483"/>
      <x:c r="S46" s="483"/>
      <x:c r="T46" s="483"/>
      <x:c r="U46" s="483"/>
      <x:c r="V46" s="483"/>
      <x:c r="W46" s="483"/>
    </x:row>
    <x:row r="47">
      <x:c r="A47" s="483"/>
      <x:c r="B47" s="483"/>
      <x:c r="C47" s="483"/>
      <x:c r="D47" s="483"/>
      <x:c r="E47" s="483"/>
      <x:c r="F47" s="483"/>
      <x:c r="G47" s="483"/>
      <x:c r="H47" s="483"/>
      <x:c r="I47" s="483"/>
      <x:c r="J47" s="483"/>
      <x:c r="K47" s="483"/>
      <x:c r="L47" s="483"/>
      <x:c r="M47" s="483"/>
      <x:c r="N47" s="483"/>
      <x:c r="O47" s="483"/>
      <x:c r="P47" s="483"/>
      <x:c r="Q47" s="483"/>
      <x:c r="R47" s="483"/>
      <x:c r="S47" s="483"/>
      <x:c r="T47" s="483"/>
      <x:c r="U47" s="483"/>
      <x:c r="V47" s="483"/>
      <x:c r="W47" s="483"/>
    </x:row>
    <x:row r="48">
      <x:c r="A48" s="483"/>
      <x:c r="B48" s="483"/>
      <x:c r="C48" s="483"/>
      <x:c r="D48" s="483"/>
      <x:c r="E48" s="483"/>
      <x:c r="F48" s="483"/>
      <x:c r="G48" s="483"/>
      <x:c r="H48" s="483"/>
      <x:c r="I48" s="483"/>
      <x:c r="J48" s="483"/>
      <x:c r="K48" s="483"/>
      <x:c r="L48" s="483"/>
      <x:c r="M48" s="483"/>
      <x:c r="N48" s="483"/>
      <x:c r="O48" s="483"/>
      <x:c r="P48" s="483"/>
      <x:c r="Q48" s="483"/>
      <x:c r="R48" s="483"/>
      <x:c r="S48" s="483"/>
      <x:c r="T48" s="483"/>
      <x:c r="U48" s="483"/>
      <x:c r="V48" s="483"/>
      <x:c r="W48" s="483"/>
    </x:row>
    <x:row r="49">
      <x:c r="A49" s="483"/>
      <x:c r="B49" s="483"/>
      <x:c r="C49" s="483"/>
      <x:c r="D49" s="483"/>
      <x:c r="E49" s="483"/>
      <x:c r="F49" s="483"/>
      <x:c r="G49" s="483"/>
      <x:c r="H49" s="483"/>
      <x:c r="I49" s="483"/>
      <x:c r="J49" s="483"/>
      <x:c r="K49" s="483"/>
      <x:c r="L49" s="483"/>
      <x:c r="M49" s="483"/>
      <x:c r="N49" s="483"/>
      <x:c r="O49" s="483"/>
      <x:c r="P49" s="483"/>
      <x:c r="Q49" s="483"/>
      <x:c r="R49" s="483"/>
      <x:c r="S49" s="483"/>
      <x:c r="T49" s="483"/>
      <x:c r="U49" s="483"/>
      <x:c r="V49" s="483"/>
      <x:c r="W49" s="483"/>
    </x:row>
    <x:row r="50">
      <x:c r="A50" s="483"/>
      <x:c r="B50" s="483"/>
      <x:c r="C50" s="483"/>
      <x:c r="D50" s="483"/>
      <x:c r="E50" s="483"/>
      <x:c r="F50" s="483"/>
      <x:c r="G50" s="483"/>
      <x:c r="H50" s="483"/>
      <x:c r="I50" s="483"/>
      <x:c r="J50" s="483"/>
      <x:c r="K50" s="483"/>
      <x:c r="L50" s="483"/>
      <x:c r="M50" s="483"/>
      <x:c r="N50" s="483"/>
      <x:c r="O50" s="483"/>
      <x:c r="P50" s="483"/>
      <x:c r="Q50" s="483"/>
      <x:c r="R50" s="483"/>
      <x:c r="S50" s="483"/>
      <x:c r="T50" s="483"/>
      <x:c r="U50" s="483"/>
      <x:c r="V50" s="483"/>
      <x:c r="W50" s="483"/>
    </x:row>
    <x:row r="51">
      <x:c r="A51" s="483"/>
      <x:c r="B51" s="483"/>
      <x:c r="C51" s="483"/>
      <x:c r="D51" s="483"/>
      <x:c r="E51" s="483"/>
      <x:c r="F51" s="483"/>
      <x:c r="G51" s="483"/>
      <x:c r="H51" s="483"/>
      <x:c r="I51" s="483"/>
      <x:c r="J51" s="483"/>
      <x:c r="K51" s="483"/>
      <x:c r="L51" s="483"/>
      <x:c r="M51" s="483"/>
      <x:c r="N51" s="483"/>
      <x:c r="O51" s="483"/>
      <x:c r="P51" s="483"/>
      <x:c r="Q51" s="483"/>
      <x:c r="R51" s="483"/>
      <x:c r="S51" s="483"/>
      <x:c r="T51" s="483"/>
      <x:c r="U51" s="483"/>
      <x:c r="V51" s="483"/>
      <x:c r="W51" s="483"/>
    </x:row>
    <x:row r="52">
      <x:c r="A52" s="483"/>
      <x:c r="B52" s="483"/>
      <x:c r="C52" s="483"/>
      <x:c r="D52" s="483"/>
      <x:c r="E52" s="483"/>
      <x:c r="F52" s="483"/>
      <x:c r="G52" s="483"/>
      <x:c r="H52" s="483"/>
      <x:c r="I52" s="483"/>
      <x:c r="J52" s="483"/>
      <x:c r="K52" s="483"/>
      <x:c r="L52" s="483"/>
      <x:c r="M52" s="483"/>
      <x:c r="N52" s="483"/>
      <x:c r="O52" s="483"/>
      <x:c r="P52" s="483"/>
      <x:c r="Q52" s="483"/>
      <x:c r="R52" s="483"/>
      <x:c r="S52" s="483"/>
      <x:c r="T52" s="483"/>
      <x:c r="U52" s="483"/>
      <x:c r="V52" s="483"/>
      <x:c r="W52" s="483"/>
    </x:row>
    <x:row r="53">
      <x:c r="A53" s="483"/>
      <x:c r="B53" s="483"/>
      <x:c r="C53" s="483"/>
      <x:c r="D53" s="483"/>
      <x:c r="E53" s="483"/>
      <x:c r="F53" s="483"/>
      <x:c r="G53" s="483"/>
      <x:c r="H53" s="483"/>
      <x:c r="I53" s="483"/>
      <x:c r="J53" s="483"/>
      <x:c r="K53" s="483"/>
      <x:c r="L53" s="483"/>
      <x:c r="M53" s="483"/>
      <x:c r="N53" s="483"/>
      <x:c r="O53" s="483"/>
      <x:c r="P53" s="483"/>
      <x:c r="Q53" s="483"/>
      <x:c r="R53" s="483"/>
      <x:c r="S53" s="483"/>
      <x:c r="T53" s="483"/>
      <x:c r="U53" s="483"/>
      <x:c r="V53" s="483"/>
      <x:c r="W53" s="483"/>
    </x:row>
    <x:row r="54">
      <x:c r="A54" s="483"/>
      <x:c r="B54" s="483"/>
      <x:c r="C54" s="483"/>
      <x:c r="D54" s="483"/>
      <x:c r="E54" s="483"/>
      <x:c r="F54" s="483"/>
      <x:c r="G54" s="483"/>
      <x:c r="H54" s="483"/>
      <x:c r="I54" s="483"/>
      <x:c r="J54" s="483"/>
      <x:c r="K54" s="483"/>
      <x:c r="L54" s="483"/>
      <x:c r="M54" s="483"/>
      <x:c r="N54" s="483"/>
      <x:c r="O54" s="483"/>
      <x:c r="P54" s="483"/>
      <x:c r="Q54" s="483"/>
      <x:c r="R54" s="483"/>
      <x:c r="S54" s="483"/>
      <x:c r="T54" s="483"/>
      <x:c r="U54" s="483"/>
      <x:c r="V54" s="483"/>
      <x:c r="W54" s="483"/>
    </x:row>
    <x:row r="55">
      <x:c r="A55" s="483"/>
      <x:c r="B55" s="483"/>
      <x:c r="C55" s="483"/>
      <x:c r="D55" s="483"/>
      <x:c r="E55" s="483"/>
      <x:c r="F55" s="483"/>
      <x:c r="G55" s="483"/>
      <x:c r="H55" s="483"/>
      <x:c r="I55" s="483"/>
      <x:c r="J55" s="483"/>
      <x:c r="K55" s="483"/>
      <x:c r="L55" s="483"/>
      <x:c r="M55" s="483"/>
      <x:c r="N55" s="483"/>
      <x:c r="O55" s="483"/>
      <x:c r="P55" s="483"/>
      <x:c r="Q55" s="483"/>
      <x:c r="R55" s="483"/>
      <x:c r="S55" s="483"/>
      <x:c r="T55" s="483"/>
      <x:c r="U55" s="483"/>
      <x:c r="V55" s="483"/>
      <x:c r="W55" s="483"/>
    </x:row>
    <x:row r="56">
      <x:c r="A56" s="483"/>
      <x:c r="B56" s="483"/>
      <x:c r="C56" s="483"/>
      <x:c r="D56" s="483"/>
      <x:c r="E56" s="483"/>
      <x:c r="F56" s="483"/>
      <x:c r="G56" s="483"/>
      <x:c r="H56" s="483"/>
      <x:c r="I56" s="483"/>
      <x:c r="J56" s="483"/>
      <x:c r="K56" s="483"/>
      <x:c r="L56" s="483"/>
      <x:c r="M56" s="483"/>
      <x:c r="N56" s="483"/>
      <x:c r="O56" s="483"/>
      <x:c r="P56" s="483"/>
      <x:c r="Q56" s="483"/>
      <x:c r="R56" s="483"/>
      <x:c r="S56" s="483"/>
      <x:c r="T56" s="483"/>
      <x:c r="U56" s="483"/>
      <x:c r="V56" s="483"/>
      <x:c r="W56" s="483"/>
    </x:row>
    <x:row r="57">
      <x:c r="A57" s="483"/>
      <x:c r="B57" s="483"/>
      <x:c r="C57" s="483"/>
      <x:c r="D57" s="483"/>
      <x:c r="E57" s="483"/>
      <x:c r="F57" s="483"/>
      <x:c r="G57" s="483"/>
      <x:c r="H57" s="483"/>
      <x:c r="I57" s="483"/>
      <x:c r="J57" s="483"/>
      <x:c r="K57" s="483"/>
      <x:c r="L57" s="483"/>
      <x:c r="M57" s="483"/>
      <x:c r="N57" s="483"/>
      <x:c r="O57" s="483"/>
      <x:c r="P57" s="483"/>
      <x:c r="Q57" s="483"/>
      <x:c r="R57" s="483"/>
      <x:c r="S57" s="483"/>
      <x:c r="T57" s="483"/>
      <x:c r="U57" s="483"/>
      <x:c r="V57" s="483"/>
      <x:c r="W57" s="483"/>
    </x:row>
    <x:row r="58">
      <x:c r="A58" s="483"/>
      <x:c r="B58" s="483"/>
      <x:c r="C58" s="483"/>
      <x:c r="D58" s="483"/>
      <x:c r="E58" s="483"/>
      <x:c r="F58" s="483"/>
      <x:c r="G58" s="483"/>
      <x:c r="H58" s="483"/>
      <x:c r="I58" s="483"/>
      <x:c r="J58" s="483"/>
      <x:c r="K58" s="483"/>
      <x:c r="L58" s="483"/>
      <x:c r="M58" s="483"/>
      <x:c r="N58" s="483"/>
      <x:c r="O58" s="483"/>
      <x:c r="P58" s="483"/>
      <x:c r="Q58" s="483"/>
      <x:c r="R58" s="483"/>
      <x:c r="S58" s="483"/>
      <x:c r="T58" s="483"/>
      <x:c r="U58" s="483"/>
      <x:c r="V58" s="483"/>
      <x:c r="W58" s="483"/>
    </x:row>
    <x:row r="59">
      <x:c r="A59" s="483"/>
      <x:c r="B59" s="483"/>
      <x:c r="C59" s="483"/>
      <x:c r="D59" s="483"/>
      <x:c r="E59" s="483"/>
      <x:c r="F59" s="483"/>
      <x:c r="G59" s="483"/>
      <x:c r="H59" s="483"/>
      <x:c r="I59" s="483"/>
      <x:c r="J59" s="483"/>
      <x:c r="K59" s="483"/>
      <x:c r="L59" s="483"/>
      <x:c r="M59" s="483"/>
      <x:c r="N59" s="483"/>
      <x:c r="O59" s="483"/>
      <x:c r="P59" s="483"/>
      <x:c r="Q59" s="483"/>
      <x:c r="R59" s="483"/>
      <x:c r="S59" s="483"/>
      <x:c r="T59" s="483"/>
      <x:c r="U59" s="483"/>
      <x:c r="V59" s="483"/>
      <x:c r="W59" s="483"/>
    </x:row>
    <x:row r="60">
      <x:c r="A60" s="483"/>
      <x:c r="B60" s="483"/>
      <x:c r="C60" s="483"/>
      <x:c r="D60" s="483"/>
      <x:c r="E60" s="483"/>
      <x:c r="F60" s="483"/>
      <x:c r="G60" s="483"/>
      <x:c r="H60" s="483"/>
      <x:c r="I60" s="483"/>
      <x:c r="J60" s="483"/>
      <x:c r="K60" s="483"/>
      <x:c r="L60" s="483"/>
      <x:c r="M60" s="483"/>
      <x:c r="N60" s="483"/>
      <x:c r="O60" s="483"/>
      <x:c r="P60" s="483"/>
      <x:c r="Q60" s="483"/>
      <x:c r="R60" s="483"/>
      <x:c r="S60" s="483"/>
      <x:c r="T60" s="483"/>
      <x:c r="U60" s="483"/>
      <x:c r="V60" s="483"/>
      <x:c r="W60" s="483"/>
    </x:row>
    <x:row r="61">
      <x:c r="A61" s="483"/>
      <x:c r="B61" s="483"/>
      <x:c r="C61" s="483"/>
      <x:c r="D61" s="483"/>
      <x:c r="E61" s="483"/>
      <x:c r="F61" s="483"/>
      <x:c r="G61" s="483"/>
      <x:c r="H61" s="483"/>
      <x:c r="I61" s="483"/>
      <x:c r="J61" s="483"/>
      <x:c r="K61" s="483"/>
      <x:c r="L61" s="483"/>
      <x:c r="M61" s="483"/>
      <x:c r="N61" s="483"/>
      <x:c r="O61" s="483"/>
      <x:c r="P61" s="483"/>
      <x:c r="Q61" s="483"/>
      <x:c r="R61" s="483"/>
      <x:c r="S61" s="483"/>
      <x:c r="T61" s="483"/>
      <x:c r="U61" s="483"/>
      <x:c r="V61" s="483"/>
      <x:c r="W61" s="483"/>
    </x:row>
    <x:row r="62">
      <x:c r="A62" s="483"/>
      <x:c r="B62" s="483"/>
      <x:c r="C62" s="483"/>
      <x:c r="D62" s="483"/>
      <x:c r="E62" s="483"/>
      <x:c r="F62" s="483"/>
      <x:c r="G62" s="483"/>
      <x:c r="H62" s="483"/>
      <x:c r="I62" s="483"/>
      <x:c r="J62" s="483"/>
      <x:c r="K62" s="483"/>
      <x:c r="L62" s="483"/>
      <x:c r="M62" s="483"/>
      <x:c r="N62" s="483"/>
      <x:c r="O62" s="483"/>
      <x:c r="P62" s="483"/>
      <x:c r="Q62" s="483"/>
      <x:c r="R62" s="483"/>
      <x:c r="S62" s="483"/>
      <x:c r="T62" s="483"/>
      <x:c r="U62" s="483"/>
      <x:c r="V62" s="483"/>
      <x:c r="W62" s="483"/>
    </x:row>
    <x:row r="63">
      <x:c r="A63" s="483"/>
      <x:c r="B63" s="483"/>
      <x:c r="C63" s="483"/>
      <x:c r="D63" s="483"/>
      <x:c r="E63" s="483"/>
      <x:c r="F63" s="483"/>
      <x:c r="G63" s="483"/>
      <x:c r="H63" s="483"/>
      <x:c r="I63" s="483"/>
      <x:c r="J63" s="483"/>
      <x:c r="K63" s="483"/>
      <x:c r="L63" s="483"/>
      <x:c r="M63" s="483"/>
      <x:c r="N63" s="483"/>
      <x:c r="O63" s="483"/>
      <x:c r="P63" s="483"/>
      <x:c r="Q63" s="483"/>
      <x:c r="R63" s="483"/>
      <x:c r="S63" s="483"/>
      <x:c r="T63" s="483"/>
      <x:c r="U63" s="483"/>
      <x:c r="V63" s="483"/>
      <x:c r="W63" s="483"/>
    </x:row>
    <x:row r="64">
      <x:c r="A64" s="483"/>
      <x:c r="B64" s="483"/>
      <x:c r="C64" s="483"/>
      <x:c r="D64" s="483"/>
      <x:c r="E64" s="483"/>
      <x:c r="F64" s="483"/>
      <x:c r="G64" s="483"/>
      <x:c r="H64" s="483"/>
      <x:c r="I64" s="483"/>
      <x:c r="J64" s="483"/>
      <x:c r="K64" s="483"/>
      <x:c r="L64" s="483"/>
      <x:c r="M64" s="483"/>
      <x:c r="N64" s="483"/>
      <x:c r="O64" s="483"/>
      <x:c r="P64" s="483"/>
      <x:c r="Q64" s="483"/>
      <x:c r="R64" s="483"/>
      <x:c r="S64" s="483"/>
      <x:c r="T64" s="483"/>
      <x:c r="U64" s="483"/>
      <x:c r="V64" s="483"/>
      <x:c r="W64" s="483"/>
    </x:row>
    <x:row r="65">
      <x:c r="A65" s="483"/>
      <x:c r="B65" s="483"/>
      <x:c r="C65" s="483"/>
      <x:c r="D65" s="483"/>
      <x:c r="E65" s="483"/>
      <x:c r="F65" s="483"/>
      <x:c r="G65" s="483"/>
      <x:c r="H65" s="483"/>
      <x:c r="I65" s="483"/>
      <x:c r="J65" s="483"/>
      <x:c r="K65" s="483"/>
      <x:c r="L65" s="483"/>
      <x:c r="M65" s="483"/>
      <x:c r="N65" s="483"/>
      <x:c r="O65" s="483"/>
      <x:c r="P65" s="483"/>
      <x:c r="Q65" s="483"/>
      <x:c r="R65" s="483"/>
      <x:c r="S65" s="483"/>
      <x:c r="T65" s="483"/>
      <x:c r="U65" s="483"/>
      <x:c r="V65" s="483"/>
      <x:c r="W65" s="483"/>
    </x:row>
    <x:row r="66">
      <x:c r="A66" s="483"/>
      <x:c r="B66" s="483"/>
      <x:c r="C66" s="483"/>
      <x:c r="D66" s="483"/>
      <x:c r="E66" s="483"/>
      <x:c r="F66" s="483"/>
      <x:c r="G66" s="483"/>
      <x:c r="H66" s="483"/>
      <x:c r="I66" s="483"/>
      <x:c r="J66" s="483"/>
      <x:c r="K66" s="483"/>
      <x:c r="L66" s="483"/>
      <x:c r="M66" s="483"/>
      <x:c r="N66" s="483"/>
      <x:c r="O66" s="483"/>
      <x:c r="P66" s="483"/>
      <x:c r="Q66" s="483"/>
      <x:c r="R66" s="483"/>
      <x:c r="S66" s="483"/>
      <x:c r="T66" s="483"/>
      <x:c r="U66" s="483"/>
      <x:c r="V66" s="483"/>
      <x:c r="W66" s="483"/>
    </x:row>
    <x:row r="67">
      <x:c r="A67" s="483"/>
      <x:c r="B67" s="483"/>
      <x:c r="C67" s="483"/>
      <x:c r="D67" s="483"/>
      <x:c r="E67" s="483"/>
      <x:c r="F67" s="483"/>
      <x:c r="G67" s="483"/>
      <x:c r="H67" s="483"/>
      <x:c r="I67" s="483"/>
      <x:c r="J67" s="483"/>
      <x:c r="K67" s="483"/>
      <x:c r="L67" s="483"/>
      <x:c r="M67" s="483"/>
      <x:c r="N67" s="483"/>
      <x:c r="O67" s="483"/>
      <x:c r="P67" s="483"/>
      <x:c r="Q67" s="483"/>
      <x:c r="R67" s="483"/>
      <x:c r="S67" s="483"/>
      <x:c r="T67" s="483"/>
      <x:c r="U67" s="483"/>
      <x:c r="V67" s="483"/>
      <x:c r="W67" s="483"/>
    </x:row>
    <x:row r="68">
      <x:c r="A68" s="483"/>
      <x:c r="B68" s="483"/>
      <x:c r="C68" s="483"/>
      <x:c r="D68" s="483"/>
      <x:c r="E68" s="483"/>
      <x:c r="F68" s="483"/>
      <x:c r="G68" s="483"/>
      <x:c r="H68" s="483"/>
      <x:c r="I68" s="483"/>
      <x:c r="J68" s="483"/>
      <x:c r="K68" s="483"/>
      <x:c r="L68" s="483"/>
      <x:c r="M68" s="483"/>
      <x:c r="N68" s="483"/>
      <x:c r="O68" s="483"/>
      <x:c r="P68" s="483"/>
      <x:c r="Q68" s="483"/>
      <x:c r="R68" s="483"/>
      <x:c r="S68" s="483"/>
      <x:c r="T68" s="483"/>
      <x:c r="U68" s="483"/>
      <x:c r="V68" s="483"/>
      <x:c r="W68" s="483"/>
    </x:row>
    <x:row r="69">
      <x:c r="A69" s="483"/>
      <x:c r="B69" s="483"/>
      <x:c r="C69" s="483"/>
      <x:c r="D69" s="483"/>
      <x:c r="E69" s="483"/>
      <x:c r="F69" s="483"/>
      <x:c r="G69" s="483"/>
      <x:c r="H69" s="483"/>
      <x:c r="I69" s="483"/>
      <x:c r="J69" s="483"/>
      <x:c r="K69" s="483"/>
      <x:c r="L69" s="483"/>
      <x:c r="M69" s="483"/>
      <x:c r="N69" s="483"/>
      <x:c r="O69" s="483"/>
      <x:c r="P69" s="483"/>
      <x:c r="Q69" s="483"/>
      <x:c r="R69" s="483"/>
      <x:c r="S69" s="483"/>
      <x:c r="T69" s="483"/>
      <x:c r="U69" s="483"/>
      <x:c r="V69" s="483"/>
      <x:c r="W69" s="483"/>
    </x:row>
    <x:row r="70">
      <x:c r="A70" s="483"/>
      <x:c r="B70" s="483"/>
      <x:c r="C70" s="483"/>
      <x:c r="D70" s="483"/>
      <x:c r="E70" s="483"/>
      <x:c r="F70" s="483"/>
      <x:c r="G70" s="483"/>
      <x:c r="H70" s="483"/>
      <x:c r="I70" s="483"/>
      <x:c r="J70" s="483"/>
      <x:c r="K70" s="483"/>
      <x:c r="L70" s="483"/>
      <x:c r="M70" s="483"/>
      <x:c r="N70" s="483"/>
      <x:c r="O70" s="483"/>
      <x:c r="P70" s="483"/>
      <x:c r="Q70" s="483"/>
      <x:c r="R70" s="483"/>
      <x:c r="S70" s="483"/>
      <x:c r="T70" s="483"/>
      <x:c r="U70" s="483"/>
      <x:c r="V70" s="483"/>
      <x:c r="W70" s="483"/>
    </x:row>
    <x:row r="71">
      <x:c r="A71" s="483"/>
      <x:c r="B71" s="483"/>
      <x:c r="C71" s="483"/>
      <x:c r="D71" s="483"/>
      <x:c r="E71" s="483"/>
      <x:c r="F71" s="483"/>
      <x:c r="G71" s="483"/>
      <x:c r="H71" s="483"/>
      <x:c r="I71" s="483"/>
      <x:c r="J71" s="483"/>
      <x:c r="K71" s="483"/>
      <x:c r="L71" s="483"/>
      <x:c r="M71" s="483"/>
      <x:c r="N71" s="483"/>
      <x:c r="O71" s="483"/>
      <x:c r="P71" s="483"/>
      <x:c r="Q71" s="483"/>
      <x:c r="R71" s="483"/>
      <x:c r="S71" s="483"/>
      <x:c r="T71" s="483"/>
      <x:c r="U71" s="483"/>
      <x:c r="V71" s="483"/>
      <x:c r="W71" s="483"/>
    </x:row>
    <x:row r="72">
      <x:c r="A72" s="483"/>
      <x:c r="B72" s="483"/>
      <x:c r="C72" s="483"/>
      <x:c r="D72" s="483"/>
      <x:c r="E72" s="483"/>
      <x:c r="F72" s="483"/>
      <x:c r="G72" s="483"/>
      <x:c r="H72" s="483"/>
      <x:c r="I72" s="483"/>
      <x:c r="J72" s="483"/>
      <x:c r="K72" s="483"/>
      <x:c r="L72" s="483"/>
      <x:c r="M72" s="483"/>
      <x:c r="N72" s="483"/>
      <x:c r="O72" s="483"/>
      <x:c r="P72" s="483"/>
      <x:c r="Q72" s="483"/>
      <x:c r="R72" s="483"/>
      <x:c r="S72" s="483"/>
      <x:c r="T72" s="483"/>
      <x:c r="U72" s="483"/>
      <x:c r="V72" s="483"/>
      <x:c r="W72" s="483"/>
    </x:row>
    <x:row r="73">
      <x:c r="A73" s="483"/>
      <x:c r="B73" s="483"/>
      <x:c r="C73" s="483"/>
      <x:c r="D73" s="483"/>
      <x:c r="E73" s="483"/>
      <x:c r="F73" s="483"/>
      <x:c r="G73" s="483"/>
      <x:c r="H73" s="483"/>
      <x:c r="I73" s="483"/>
      <x:c r="J73" s="483"/>
      <x:c r="K73" s="483"/>
      <x:c r="L73" s="483"/>
      <x:c r="M73" s="483"/>
      <x:c r="N73" s="483"/>
      <x:c r="O73" s="483"/>
      <x:c r="P73" s="483"/>
      <x:c r="Q73" s="483"/>
      <x:c r="R73" s="483"/>
      <x:c r="S73" s="483"/>
      <x:c r="T73" s="483"/>
      <x:c r="U73" s="483"/>
      <x:c r="V73" s="483"/>
      <x:c r="W73" s="483"/>
    </x:row>
    <x:row r="74">
      <x:c r="A74" s="483"/>
      <x:c r="B74" s="483"/>
      <x:c r="C74" s="483"/>
      <x:c r="D74" s="483"/>
      <x:c r="E74" s="483"/>
      <x:c r="F74" s="483"/>
      <x:c r="G74" s="483"/>
      <x:c r="H74" s="483"/>
      <x:c r="I74" s="483"/>
      <x:c r="J74" s="483"/>
      <x:c r="K74" s="483"/>
      <x:c r="L74" s="483"/>
      <x:c r="M74" s="483"/>
      <x:c r="N74" s="483"/>
      <x:c r="O74" s="483"/>
      <x:c r="P74" s="483"/>
      <x:c r="Q74" s="483"/>
      <x:c r="R74" s="483"/>
      <x:c r="S74" s="483"/>
      <x:c r="T74" s="483"/>
      <x:c r="U74" s="483"/>
      <x:c r="V74" s="483"/>
      <x:c r="W74" s="483"/>
    </x:row>
    <x:row r="75">
      <x:c r="A75" s="483"/>
      <x:c r="B75" s="483"/>
      <x:c r="C75" s="483"/>
      <x:c r="D75" s="483"/>
      <x:c r="E75" s="483"/>
      <x:c r="F75" s="483"/>
      <x:c r="G75" s="483"/>
      <x:c r="H75" s="483"/>
      <x:c r="I75" s="483"/>
      <x:c r="J75" s="483"/>
      <x:c r="K75" s="483"/>
      <x:c r="L75" s="483"/>
      <x:c r="M75" s="483"/>
      <x:c r="N75" s="483"/>
      <x:c r="O75" s="483"/>
      <x:c r="P75" s="483"/>
      <x:c r="Q75" s="483"/>
      <x:c r="R75" s="483"/>
      <x:c r="S75" s="483"/>
      <x:c r="T75" s="483"/>
      <x:c r="U75" s="483"/>
      <x:c r="V75" s="483"/>
      <x:c r="W75" s="483"/>
    </x:row>
    <x:row r="76">
      <x:c r="A76" s="483"/>
      <x:c r="B76" s="483"/>
      <x:c r="C76" s="483"/>
      <x:c r="D76" s="483"/>
      <x:c r="E76" s="483"/>
      <x:c r="F76" s="483"/>
      <x:c r="G76" s="483"/>
      <x:c r="H76" s="483"/>
      <x:c r="I76" s="483"/>
      <x:c r="J76" s="483"/>
      <x:c r="K76" s="483"/>
      <x:c r="L76" s="483"/>
      <x:c r="M76" s="483"/>
      <x:c r="N76" s="483"/>
      <x:c r="O76" s="483"/>
      <x:c r="P76" s="483"/>
      <x:c r="Q76" s="483"/>
      <x:c r="R76" s="483"/>
      <x:c r="S76" s="483"/>
      <x:c r="T76" s="483"/>
      <x:c r="U76" s="483"/>
      <x:c r="V76" s="483"/>
      <x:c r="W76" s="483"/>
    </x:row>
    <x:row r="77">
      <x:c r="A77" s="483"/>
      <x:c r="B77" s="483"/>
      <x:c r="C77" s="483"/>
      <x:c r="D77" s="483"/>
      <x:c r="E77" s="483"/>
      <x:c r="F77" s="483"/>
      <x:c r="G77" s="483"/>
      <x:c r="H77" s="483"/>
      <x:c r="I77" s="483"/>
      <x:c r="J77" s="483"/>
      <x:c r="K77" s="483"/>
      <x:c r="L77" s="483"/>
      <x:c r="M77" s="483"/>
      <x:c r="N77" s="483"/>
      <x:c r="O77" s="483"/>
      <x:c r="P77" s="483"/>
      <x:c r="Q77" s="483"/>
      <x:c r="R77" s="483"/>
      <x:c r="S77" s="483"/>
      <x:c r="T77" s="483"/>
      <x:c r="U77" s="483"/>
      <x:c r="V77" s="483"/>
      <x:c r="W77" s="483"/>
    </x:row>
    <x:row r="78">
      <x:c r="A78" s="483"/>
      <x:c r="B78" s="483"/>
      <x:c r="C78" s="483"/>
      <x:c r="D78" s="483"/>
      <x:c r="E78" s="483"/>
      <x:c r="F78" s="483"/>
      <x:c r="G78" s="483"/>
      <x:c r="H78" s="483"/>
      <x:c r="I78" s="483"/>
      <x:c r="J78" s="483"/>
      <x:c r="K78" s="483"/>
      <x:c r="L78" s="483"/>
      <x:c r="M78" s="483"/>
      <x:c r="N78" s="483"/>
      <x:c r="O78" s="483"/>
      <x:c r="P78" s="483"/>
      <x:c r="Q78" s="483"/>
      <x:c r="R78" s="483"/>
      <x:c r="S78" s="483"/>
      <x:c r="T78" s="483"/>
      <x:c r="U78" s="483"/>
      <x:c r="V78" s="483"/>
      <x:c r="W78" s="483"/>
    </x:row>
    <x:row r="79">
      <x:c r="A79" s="483"/>
      <x:c r="B79" s="483"/>
      <x:c r="C79" s="483"/>
      <x:c r="D79" s="483"/>
      <x:c r="E79" s="483"/>
      <x:c r="F79" s="483"/>
      <x:c r="G79" s="483"/>
      <x:c r="H79" s="483"/>
      <x:c r="I79" s="483"/>
      <x:c r="J79" s="483"/>
      <x:c r="K79" s="483"/>
      <x:c r="L79" s="483"/>
      <x:c r="M79" s="483"/>
      <x:c r="N79" s="483"/>
      <x:c r="O79" s="483"/>
      <x:c r="P79" s="483"/>
      <x:c r="Q79" s="483"/>
      <x:c r="R79" s="483"/>
      <x:c r="S79" s="483"/>
      <x:c r="T79" s="483"/>
      <x:c r="U79" s="483"/>
      <x:c r="V79" s="483"/>
      <x:c r="W79" s="483"/>
    </x:row>
    <x:row r="80">
      <x:c r="A80" s="483"/>
      <x:c r="B80" s="483"/>
      <x:c r="C80" s="483"/>
      <x:c r="D80" s="483"/>
      <x:c r="E80" s="483"/>
      <x:c r="F80" s="483"/>
      <x:c r="G80" s="483"/>
      <x:c r="H80" s="483"/>
      <x:c r="I80" s="483"/>
      <x:c r="J80" s="483"/>
      <x:c r="K80" s="483"/>
      <x:c r="L80" s="483"/>
      <x:c r="M80" s="483"/>
      <x:c r="N80" s="483"/>
      <x:c r="O80" s="483"/>
      <x:c r="P80" s="483"/>
      <x:c r="Q80" s="483"/>
      <x:c r="R80" s="483"/>
      <x:c r="S80" s="483"/>
      <x:c r="T80" s="483"/>
      <x:c r="U80" s="483"/>
      <x:c r="V80" s="483"/>
      <x:c r="W80" s="483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4236f0c32eb4d6c"/>
  </x:tableParts>
</x:worksheet>
</file>